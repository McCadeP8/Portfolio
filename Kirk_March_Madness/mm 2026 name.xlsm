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C:\Users\mppac\Downloads\"/>
    </mc:Choice>
  </mc:AlternateContent>
  <xr:revisionPtr revIDLastSave="0" documentId="13_ncr:1_{B0D0E3C6-F50A-4C4B-B518-1549CEF25A81}" xr6:coauthVersionLast="47" xr6:coauthVersionMax="47" xr10:uidLastSave="{00000000-0000-0000-0000-000000000000}"/>
  <bookViews>
    <workbookView xWindow="4824" yWindow="12852" windowWidth="23256" windowHeight="13896" activeTab="1" xr2:uid="{A1C8B6B8-B637-4910-B32D-1213BCA35529}"/>
  </bookViews>
  <sheets>
    <sheet name="Name 1" sheetId="2" r:id="rId1"/>
    <sheet name="Name 2" sheetId="3" r:id="rId2"/>
  </sheets>
  <definedNames>
    <definedName name="_xlnm.Print_Area" localSheetId="0">'Name 1'!$A$1:$AA$67</definedName>
    <definedName name="_xlnm.Print_Area" localSheetId="1">'Name 2'!$A$1:$AA$67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68" i="3" l="1"/>
  <c r="AD67" i="3"/>
  <c r="AD66" i="3"/>
  <c r="W66" i="3"/>
  <c r="E66" i="3"/>
  <c r="AE65" i="3"/>
  <c r="AD65" i="3"/>
  <c r="AE64" i="3"/>
  <c r="AD64" i="3"/>
  <c r="AE63" i="3"/>
  <c r="AD63" i="3"/>
  <c r="AE62" i="3"/>
  <c r="AD62" i="3"/>
  <c r="W62" i="3"/>
  <c r="U64" i="3" s="1"/>
  <c r="E62" i="3"/>
  <c r="G64" i="3" s="1"/>
  <c r="AD61" i="3"/>
  <c r="AD60" i="3"/>
  <c r="AF59" i="3"/>
  <c r="AD59" i="3"/>
  <c r="AF58" i="3"/>
  <c r="AD58" i="3"/>
  <c r="W58" i="3"/>
  <c r="E58" i="3"/>
  <c r="AF57" i="3"/>
  <c r="AE57" i="3"/>
  <c r="AD57" i="3"/>
  <c r="AF56" i="3"/>
  <c r="AE56" i="3"/>
  <c r="AD56" i="3"/>
  <c r="AE55" i="3"/>
  <c r="AD55" i="3"/>
  <c r="AE54" i="3"/>
  <c r="AD54" i="3"/>
  <c r="W54" i="3"/>
  <c r="U56" i="3" s="1"/>
  <c r="E54" i="3"/>
  <c r="G56" i="3" s="1"/>
  <c r="AD53" i="3"/>
  <c r="AD52" i="3"/>
  <c r="AD51" i="3"/>
  <c r="AD50" i="3"/>
  <c r="W50" i="3"/>
  <c r="E50" i="3"/>
  <c r="AE49" i="3"/>
  <c r="AD49" i="3"/>
  <c r="AE48" i="3"/>
  <c r="AD48" i="3"/>
  <c r="AG47" i="3"/>
  <c r="AE47" i="3"/>
  <c r="AD47" i="3"/>
  <c r="AG46" i="3"/>
  <c r="AE46" i="3"/>
  <c r="AD46" i="3"/>
  <c r="W46" i="3"/>
  <c r="U48" i="3" s="1"/>
  <c r="E46" i="3"/>
  <c r="G48" i="3" s="1"/>
  <c r="AG45" i="3"/>
  <c r="AD45" i="3"/>
  <c r="AG44" i="3"/>
  <c r="AD44" i="3"/>
  <c r="AF43" i="3"/>
  <c r="AD43" i="3"/>
  <c r="AF42" i="3"/>
  <c r="AD42" i="3"/>
  <c r="W42" i="3"/>
  <c r="E42" i="3"/>
  <c r="G40" i="3" s="1"/>
  <c r="AF41" i="3"/>
  <c r="AE41" i="3"/>
  <c r="AD41" i="3"/>
  <c r="AF40" i="3"/>
  <c r="AE40" i="3"/>
  <c r="AD40" i="3"/>
  <c r="AE39" i="3"/>
  <c r="AD39" i="3"/>
  <c r="AE38" i="3"/>
  <c r="AD38" i="3"/>
  <c r="W38" i="3"/>
  <c r="U40" i="3" s="1"/>
  <c r="E38" i="3"/>
  <c r="AD37" i="3"/>
  <c r="AD34" i="3"/>
  <c r="AD33" i="3"/>
  <c r="AD32" i="3"/>
  <c r="W32" i="3"/>
  <c r="E32" i="3"/>
  <c r="AE31" i="3"/>
  <c r="AD31" i="3"/>
  <c r="AE30" i="3"/>
  <c r="AD30" i="3"/>
  <c r="AE29" i="3"/>
  <c r="AD29" i="3"/>
  <c r="AI28" i="3"/>
  <c r="AE28" i="3"/>
  <c r="AD28" i="3"/>
  <c r="W28" i="3"/>
  <c r="U30" i="3" s="1"/>
  <c r="E28" i="3"/>
  <c r="G30" i="3" s="1"/>
  <c r="AI27" i="3"/>
  <c r="AD27" i="3"/>
  <c r="AD26" i="3"/>
  <c r="AF25" i="3"/>
  <c r="AD25" i="3"/>
  <c r="AF24" i="3"/>
  <c r="AD24" i="3"/>
  <c r="W24" i="3"/>
  <c r="E24" i="3"/>
  <c r="AF23" i="3"/>
  <c r="AE23" i="3"/>
  <c r="AD23" i="3"/>
  <c r="AF22" i="3"/>
  <c r="AE22" i="3"/>
  <c r="AD22" i="3"/>
  <c r="AE21" i="3"/>
  <c r="AD21" i="3"/>
  <c r="AH20" i="3"/>
  <c r="AE20" i="3"/>
  <c r="AD20" i="3"/>
  <c r="W20" i="3"/>
  <c r="U22" i="3" s="1"/>
  <c r="S26" i="3" s="1"/>
  <c r="E20" i="3"/>
  <c r="G22" i="3" s="1"/>
  <c r="AH19" i="3"/>
  <c r="AD19" i="3"/>
  <c r="AH18" i="3"/>
  <c r="AD18" i="3"/>
  <c r="AH17" i="3"/>
  <c r="AD17" i="3"/>
  <c r="AD16" i="3"/>
  <c r="W16" i="3"/>
  <c r="E16" i="3"/>
  <c r="G14" i="3" s="1"/>
  <c r="AE15" i="3"/>
  <c r="AD15" i="3"/>
  <c r="AE14" i="3"/>
  <c r="AD14" i="3"/>
  <c r="AG13" i="3"/>
  <c r="AE13" i="3"/>
  <c r="AD13" i="3"/>
  <c r="AG12" i="3"/>
  <c r="AE12" i="3"/>
  <c r="AD12" i="3"/>
  <c r="W12" i="3"/>
  <c r="U14" i="3" s="1"/>
  <c r="E12" i="3"/>
  <c r="AG11" i="3"/>
  <c r="AD11" i="3"/>
  <c r="AG10" i="3"/>
  <c r="AD10" i="3"/>
  <c r="AF9" i="3"/>
  <c r="AD9" i="3"/>
  <c r="AF8" i="3"/>
  <c r="AD8" i="3"/>
  <c r="W8" i="3"/>
  <c r="U6" i="3" s="1"/>
  <c r="E8" i="3"/>
  <c r="AF7" i="3"/>
  <c r="AE7" i="3"/>
  <c r="AD7" i="3"/>
  <c r="AF6" i="3"/>
  <c r="AE6" i="3"/>
  <c r="AD6" i="3"/>
  <c r="AE5" i="3"/>
  <c r="AD5" i="3"/>
  <c r="AE4" i="3"/>
  <c r="AD4" i="3"/>
  <c r="W4" i="3"/>
  <c r="E4" i="3"/>
  <c r="G6" i="3" s="1"/>
  <c r="AD3" i="3"/>
  <c r="AD68" i="2"/>
  <c r="AD67" i="2"/>
  <c r="AD66" i="2"/>
  <c r="W66" i="2"/>
  <c r="E66" i="2"/>
  <c r="AE65" i="2"/>
  <c r="AD65" i="2"/>
  <c r="AE64" i="2"/>
  <c r="AD64" i="2"/>
  <c r="G64" i="2"/>
  <c r="AE63" i="2"/>
  <c r="AD63" i="2"/>
  <c r="AE62" i="2"/>
  <c r="AD62" i="2"/>
  <c r="W62" i="2"/>
  <c r="U64" i="2" s="1"/>
  <c r="E62" i="2"/>
  <c r="AD61" i="2"/>
  <c r="AD60" i="2"/>
  <c r="AF59" i="2"/>
  <c r="AD59" i="2"/>
  <c r="AF58" i="2"/>
  <c r="AD58" i="2"/>
  <c r="W58" i="2"/>
  <c r="E58" i="2"/>
  <c r="AF57" i="2"/>
  <c r="AE57" i="2"/>
  <c r="AD57" i="2"/>
  <c r="AF56" i="2"/>
  <c r="AE56" i="2"/>
  <c r="AD56" i="2"/>
  <c r="G56" i="2"/>
  <c r="AE55" i="2"/>
  <c r="AD55" i="2"/>
  <c r="AE54" i="2"/>
  <c r="AD54" i="2"/>
  <c r="W54" i="2"/>
  <c r="U56" i="2" s="1"/>
  <c r="E54" i="2"/>
  <c r="AD53" i="2"/>
  <c r="AD52" i="2"/>
  <c r="AD51" i="2"/>
  <c r="AD50" i="2"/>
  <c r="W50" i="2"/>
  <c r="E50" i="2"/>
  <c r="AE49" i="2"/>
  <c r="AD49" i="2"/>
  <c r="AE48" i="2"/>
  <c r="AD48" i="2"/>
  <c r="AG47" i="2"/>
  <c r="AE47" i="2"/>
  <c r="AD47" i="2"/>
  <c r="AG46" i="2"/>
  <c r="AE46" i="2"/>
  <c r="AD46" i="2"/>
  <c r="W46" i="2"/>
  <c r="U48" i="2" s="1"/>
  <c r="E46" i="2"/>
  <c r="G48" i="2" s="1"/>
  <c r="AG45" i="2"/>
  <c r="AD45" i="2"/>
  <c r="AG44" i="2"/>
  <c r="AD44" i="2"/>
  <c r="AF43" i="2"/>
  <c r="AD43" i="2"/>
  <c r="AF42" i="2"/>
  <c r="AD42" i="2"/>
  <c r="W42" i="2"/>
  <c r="E42" i="2"/>
  <c r="AF41" i="2"/>
  <c r="AE41" i="2"/>
  <c r="AD41" i="2"/>
  <c r="AF40" i="2"/>
  <c r="AE40" i="2"/>
  <c r="AD40" i="2"/>
  <c r="G40" i="2"/>
  <c r="AE39" i="2"/>
  <c r="AD39" i="2"/>
  <c r="AE38" i="2"/>
  <c r="AD38" i="2"/>
  <c r="W38" i="2"/>
  <c r="U40" i="2" s="1"/>
  <c r="E38" i="2"/>
  <c r="AD37" i="2"/>
  <c r="AD34" i="2"/>
  <c r="AD33" i="2"/>
  <c r="AD32" i="2"/>
  <c r="W32" i="2"/>
  <c r="E32" i="2"/>
  <c r="AE31" i="2"/>
  <c r="AD31" i="2"/>
  <c r="AE30" i="2"/>
  <c r="AD30" i="2"/>
  <c r="AE29" i="2"/>
  <c r="AD29" i="2"/>
  <c r="AI28" i="2"/>
  <c r="AE28" i="2"/>
  <c r="AD28" i="2"/>
  <c r="W28" i="2"/>
  <c r="E28" i="2"/>
  <c r="G30" i="2" s="1"/>
  <c r="AI27" i="2"/>
  <c r="AD27" i="2"/>
  <c r="AD26" i="2"/>
  <c r="AF25" i="2"/>
  <c r="AD25" i="2"/>
  <c r="AF24" i="2"/>
  <c r="AD24" i="2"/>
  <c r="W24" i="2"/>
  <c r="E24" i="2"/>
  <c r="G22" i="2" s="1"/>
  <c r="AF23" i="2"/>
  <c r="AE23" i="2"/>
  <c r="AD23" i="2"/>
  <c r="AF22" i="2"/>
  <c r="AE22" i="2"/>
  <c r="AD22" i="2"/>
  <c r="AE21" i="2"/>
  <c r="AD21" i="2"/>
  <c r="AH20" i="2"/>
  <c r="AE20" i="2"/>
  <c r="AD20" i="2"/>
  <c r="W20" i="2"/>
  <c r="U22" i="2" s="1"/>
  <c r="E20" i="2"/>
  <c r="AH19" i="2"/>
  <c r="AD19" i="2"/>
  <c r="AH18" i="2"/>
  <c r="AD18" i="2"/>
  <c r="AH17" i="2"/>
  <c r="AD17" i="2"/>
  <c r="AD16" i="2"/>
  <c r="W16" i="2"/>
  <c r="U14" i="2" s="1"/>
  <c r="E16" i="2"/>
  <c r="G14" i="2" s="1"/>
  <c r="AE15" i="2"/>
  <c r="AD15" i="2"/>
  <c r="AE14" i="2"/>
  <c r="AD14" i="2"/>
  <c r="AG13" i="2"/>
  <c r="AE13" i="2"/>
  <c r="AD13" i="2"/>
  <c r="AG12" i="2"/>
  <c r="AE12" i="2"/>
  <c r="AD12" i="2"/>
  <c r="W12" i="2"/>
  <c r="E12" i="2"/>
  <c r="AG11" i="2"/>
  <c r="AD11" i="2"/>
  <c r="AG10" i="2"/>
  <c r="AD10" i="2"/>
  <c r="AF9" i="2"/>
  <c r="AD9" i="2"/>
  <c r="AF8" i="2"/>
  <c r="AD8" i="2"/>
  <c r="W8" i="2"/>
  <c r="E8" i="2"/>
  <c r="AF7" i="2"/>
  <c r="AE7" i="2"/>
  <c r="AD7" i="2"/>
  <c r="AF6" i="2"/>
  <c r="AE6" i="2"/>
  <c r="AD6" i="2"/>
  <c r="U6" i="2"/>
  <c r="S10" i="2" s="1"/>
  <c r="G6" i="2"/>
  <c r="AE5" i="2"/>
  <c r="AD5" i="2"/>
  <c r="AE4" i="2"/>
  <c r="AD4" i="2"/>
  <c r="W4" i="2"/>
  <c r="E4" i="2"/>
  <c r="AD3" i="2"/>
  <c r="I44" i="3" l="1"/>
  <c r="I60" i="2"/>
  <c r="I44" i="2"/>
  <c r="U30" i="2"/>
  <c r="S26" i="2" s="1"/>
  <c r="Q17" i="2" s="1"/>
  <c r="I10" i="2"/>
  <c r="S44" i="3"/>
  <c r="S10" i="3"/>
  <c r="Q17" i="3" s="1"/>
  <c r="I60" i="3"/>
  <c r="S60" i="3"/>
  <c r="I26" i="3"/>
  <c r="I10" i="3"/>
  <c r="S60" i="2"/>
  <c r="I26" i="2"/>
  <c r="S44" i="2"/>
  <c r="K51" i="3" l="1"/>
  <c r="K17" i="3"/>
  <c r="K51" i="2"/>
  <c r="K17" i="2"/>
  <c r="Q51" i="3"/>
  <c r="O38" i="3" s="1"/>
  <c r="Q51" i="2"/>
  <c r="O38" i="2" s="1"/>
  <c r="M32" i="3" l="1"/>
  <c r="N36" i="3" s="1"/>
  <c r="N2" i="3" s="1"/>
  <c r="M32" i="2"/>
  <c r="N36" i="2" s="1"/>
  <c r="N2" i="2" s="1"/>
</calcChain>
</file>

<file path=xl/sharedStrings.xml><?xml version="1.0" encoding="utf-8"?>
<sst xmlns="http://schemas.openxmlformats.org/spreadsheetml/2006/main" count="270" uniqueCount="73">
  <si>
    <t>DATE</t>
  </si>
  <si>
    <t>DUKE</t>
  </si>
  <si>
    <t>ARIZONA</t>
  </si>
  <si>
    <t>SIENA</t>
  </si>
  <si>
    <t>LONG ISLAND</t>
  </si>
  <si>
    <t>OHIO ST</t>
  </si>
  <si>
    <t>VILLANOVA</t>
  </si>
  <si>
    <t>TCU</t>
  </si>
  <si>
    <t>UTAH ST</t>
  </si>
  <si>
    <t>ST JOHNS</t>
  </si>
  <si>
    <t>WISCONSIN</t>
  </si>
  <si>
    <t>N IOWA</t>
  </si>
  <si>
    <t>HIGH PT</t>
  </si>
  <si>
    <t>Indianapolis</t>
  </si>
  <si>
    <t>KANSAS</t>
  </si>
  <si>
    <t>ARKANSAS</t>
  </si>
  <si>
    <t>East</t>
  </si>
  <si>
    <t>West</t>
  </si>
  <si>
    <t>CAL BAP</t>
  </si>
  <si>
    <t>HAWAII</t>
  </si>
  <si>
    <t>LOUISVILLE</t>
  </si>
  <si>
    <t>BYU</t>
  </si>
  <si>
    <t>S FLORIDA</t>
  </si>
  <si>
    <t>NC ST/TX</t>
  </si>
  <si>
    <t>MICH ST</t>
  </si>
  <si>
    <t>GONZAGA</t>
  </si>
  <si>
    <t>N DAK ST</t>
  </si>
  <si>
    <t>KENNESAW</t>
  </si>
  <si>
    <t>UCLA</t>
  </si>
  <si>
    <t>MIAMI (FL)</t>
  </si>
  <si>
    <t>UCF</t>
  </si>
  <si>
    <t>MISSOURI</t>
  </si>
  <si>
    <t>UCONN</t>
  </si>
  <si>
    <t>PURDUE</t>
  </si>
  <si>
    <t>FURMAN</t>
  </si>
  <si>
    <t>QUEENS</t>
  </si>
  <si>
    <t>FLORIDA</t>
  </si>
  <si>
    <t>MICHIGAN</t>
  </si>
  <si>
    <t>LEHIGH/PVAM</t>
  </si>
  <si>
    <t>HOW/UMBC</t>
  </si>
  <si>
    <t>CLEMSON</t>
  </si>
  <si>
    <t>GEORGIA</t>
  </si>
  <si>
    <t>IOWA</t>
  </si>
  <si>
    <t>ST LOUIS</t>
  </si>
  <si>
    <t>VANDY</t>
  </si>
  <si>
    <t>TEXAS TECH</t>
  </si>
  <si>
    <t>MCNEESE</t>
  </si>
  <si>
    <t>AKRON</t>
  </si>
  <si>
    <t>NEBRASKA</t>
  </si>
  <si>
    <t>ALABAMA</t>
  </si>
  <si>
    <t>South</t>
  </si>
  <si>
    <t>MIDWEST</t>
  </si>
  <si>
    <t>TROY</t>
  </si>
  <si>
    <t>HOFSTRA</t>
  </si>
  <si>
    <t>N CAROLINA</t>
  </si>
  <si>
    <t>TENNESSEE</t>
  </si>
  <si>
    <t>VCU</t>
  </si>
  <si>
    <t>SMU/MIA (OH)</t>
  </si>
  <si>
    <t>ILLINOIS</t>
  </si>
  <si>
    <t>VIRGINIA</t>
  </si>
  <si>
    <t>PENN</t>
  </si>
  <si>
    <t>WRIGHT ST</t>
  </si>
  <si>
    <t>ST MARYS</t>
  </si>
  <si>
    <t>KENTUCKY</t>
  </si>
  <si>
    <t>TEXAS AM</t>
  </si>
  <si>
    <t>SANTA CLARA</t>
  </si>
  <si>
    <t>HOUSTON</t>
  </si>
  <si>
    <t>IOWA ST</t>
  </si>
  <si>
    <t>IDAHO</t>
  </si>
  <si>
    <t>TENNESSEE ST</t>
  </si>
  <si>
    <t>Midwest</t>
  </si>
  <si>
    <t>McCade Pearson 2</t>
  </si>
  <si>
    <t>McCade Pearson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</si>
</sst>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theme="0"/>
      <name val="Tahoma"/>
      <family val="2"/>
    </font>
    <font>
      <sz val="10"/>
      <color indexed="9"/>
      <name val="Tahoma"/>
      <family val="2"/>
    </font>
    <font>
      <sz val="9"/>
      <name val="Tahoma"/>
      <family val="2"/>
    </font>
    <font>
      <sz val="10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0" fontId="1" fillId="0" borderId="0"/>
  </cellStyleXfs>
  <cellXfs count="68">
    <xf numFmtId="0" fontId="0" fillId="0" borderId="0" xfId="0"/>
    <xf numFmtId="0" fontId="2" fillId="0" borderId="0" xfId="1" applyFont="1" applyAlignment="1">
      <alignment horizontal="center"/>
    </xf>
    <xf numFmtId="0" fontId="3" fillId="0" borderId="0" xfId="1" applyFont="1"/>
    <xf numFmtId="0" fontId="3" fillId="0" borderId="0" xfId="2" applyFont="1"/>
    <xf numFmtId="0" fontId="3" fillId="0" borderId="0" xfId="2" applyFont="1" applyAlignment="1">
      <alignment horizontal="left"/>
    </xf>
    <xf numFmtId="0" fontId="3" fillId="0" borderId="0" xfId="2" applyFont="1" applyAlignment="1">
      <alignment horizontal="right"/>
    </xf>
    <xf numFmtId="0" fontId="1" fillId="0" borderId="0" xfId="1"/>
    <xf numFmtId="0" fontId="1" fillId="0" borderId="0" xfId="1" applyAlignment="1">
      <alignment horizontal="right"/>
    </xf>
    <xf numFmtId="0" fontId="4" fillId="0" borderId="0" xfId="1" applyFont="1"/>
    <xf numFmtId="0" fontId="4" fillId="0" borderId="0" xfId="1" applyFont="1" applyAlignment="1">
      <alignment horizontal="left"/>
    </xf>
    <xf numFmtId="0" fontId="4" fillId="0" borderId="0" xfId="2" applyFont="1"/>
    <xf numFmtId="0" fontId="4" fillId="0" borderId="0" xfId="2" applyFont="1" applyAlignment="1">
      <alignment horizontal="left"/>
    </xf>
    <xf numFmtId="0" fontId="4" fillId="0" borderId="0" xfId="3" applyFont="1" applyAlignment="1">
      <alignment horizontal="center"/>
    </xf>
    <xf numFmtId="0" fontId="4" fillId="0" borderId="0" xfId="2" applyFont="1" applyAlignment="1">
      <alignment horizontal="right"/>
    </xf>
    <xf numFmtId="0" fontId="4" fillId="0" borderId="0" xfId="1" applyFont="1" applyAlignment="1">
      <alignment horizontal="right"/>
    </xf>
    <xf numFmtId="0" fontId="2" fillId="0" borderId="0" xfId="4" applyFont="1" applyAlignment="1">
      <alignment horizontal="center"/>
    </xf>
    <xf numFmtId="0" fontId="4" fillId="0" borderId="2" xfId="1" applyFont="1" applyBorder="1"/>
    <xf numFmtId="0" fontId="4" fillId="0" borderId="2" xfId="4" applyFont="1" applyBorder="1" applyAlignment="1">
      <alignment horizontal="left"/>
    </xf>
    <xf numFmtId="0" fontId="4" fillId="0" borderId="2" xfId="4" applyFont="1" applyBorder="1" applyAlignment="1">
      <alignment horizontal="right"/>
    </xf>
    <xf numFmtId="0" fontId="5" fillId="0" borderId="0" xfId="4" applyFont="1" applyAlignment="1">
      <alignment horizontal="left"/>
    </xf>
    <xf numFmtId="0" fontId="4" fillId="0" borderId="4" xfId="2" applyFont="1" applyBorder="1"/>
    <xf numFmtId="0" fontId="4" fillId="0" borderId="2" xfId="2" applyFont="1" applyBorder="1" applyAlignment="1" applyProtection="1">
      <alignment horizontal="left"/>
      <protection locked="0"/>
    </xf>
    <xf numFmtId="0" fontId="4" fillId="0" borderId="2" xfId="2" applyFont="1" applyBorder="1"/>
    <xf numFmtId="0" fontId="5" fillId="0" borderId="5" xfId="4" applyFont="1" applyBorder="1" applyAlignment="1">
      <alignment horizontal="right"/>
    </xf>
    <xf numFmtId="0" fontId="6" fillId="0" borderId="5" xfId="2" applyFont="1" applyBorder="1"/>
    <xf numFmtId="0" fontId="6" fillId="0" borderId="0" xfId="2" applyFont="1" applyAlignment="1">
      <alignment horizontal="left"/>
    </xf>
    <xf numFmtId="0" fontId="4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0" xfId="2" applyFont="1"/>
    <xf numFmtId="0" fontId="4" fillId="0" borderId="4" xfId="4" applyFont="1" applyBorder="1" applyAlignment="1">
      <alignment horizontal="right"/>
    </xf>
    <xf numFmtId="0" fontId="4" fillId="0" borderId="0" xfId="4" applyFont="1" applyAlignment="1">
      <alignment horizontal="left"/>
    </xf>
    <xf numFmtId="0" fontId="4" fillId="0" borderId="6" xfId="2" applyFont="1" applyBorder="1"/>
    <xf numFmtId="0" fontId="4" fillId="0" borderId="0" xfId="4" applyFont="1" applyAlignment="1">
      <alignment horizontal="right"/>
    </xf>
    <xf numFmtId="0" fontId="4" fillId="0" borderId="5" xfId="2" applyFont="1" applyBorder="1" applyAlignment="1">
      <alignment horizontal="right"/>
    </xf>
    <xf numFmtId="0" fontId="6" fillId="0" borderId="0" xfId="2" applyFont="1" applyAlignment="1">
      <alignment horizontal="right"/>
    </xf>
    <xf numFmtId="0" fontId="7" fillId="0" borderId="0" xfId="4" applyFont="1" applyAlignment="1">
      <alignment horizontal="center"/>
    </xf>
    <xf numFmtId="0" fontId="4" fillId="0" borderId="0" xfId="4" applyFont="1" applyAlignment="1">
      <alignment horizontal="center"/>
    </xf>
    <xf numFmtId="0" fontId="3" fillId="5" borderId="0" xfId="1" applyFont="1" applyFill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4" applyFont="1"/>
    <xf numFmtId="0" fontId="3" fillId="0" borderId="8" xfId="1" applyFont="1" applyBorder="1"/>
    <xf numFmtId="0" fontId="5" fillId="0" borderId="5" xfId="2" applyFont="1" applyBorder="1" applyAlignment="1">
      <alignment horizontal="right"/>
    </xf>
    <xf numFmtId="0" fontId="3" fillId="0" borderId="5" xfId="1" applyFont="1" applyBorder="1"/>
    <xf numFmtId="0" fontId="8" fillId="0" borderId="0" xfId="2" applyFont="1"/>
    <xf numFmtId="0" fontId="8" fillId="0" borderId="5" xfId="2" applyFont="1" applyBorder="1" applyAlignment="1">
      <alignment horizontal="right"/>
    </xf>
    <xf numFmtId="0" fontId="1" fillId="0" borderId="0" xfId="1" applyAlignment="1">
      <alignment horizontal="center"/>
    </xf>
    <xf numFmtId="0" fontId="8" fillId="0" borderId="0" xfId="2" applyFont="1" applyAlignment="1">
      <alignment horizontal="right"/>
    </xf>
    <xf numFmtId="0" fontId="1" fillId="0" borderId="5" xfId="1" applyBorder="1"/>
    <xf numFmtId="0" fontId="3" fillId="0" borderId="8" xfId="2" applyFont="1" applyBorder="1"/>
    <xf numFmtId="0" fontId="4" fillId="0" borderId="0" xfId="2" applyFont="1" applyAlignment="1">
      <alignment horizontal="center"/>
    </xf>
    <xf numFmtId="0" fontId="4" fillId="0" borderId="8" xfId="2" applyFont="1" applyBorder="1"/>
    <xf numFmtId="0" fontId="7" fillId="0" borderId="0" xfId="4" applyFont="1" applyAlignment="1">
      <alignment horizontal="center" wrapText="1"/>
    </xf>
    <xf numFmtId="0" fontId="1" fillId="0" borderId="0" xfId="1" applyAlignment="1">
      <alignment horizontal="left"/>
    </xf>
    <xf numFmtId="0" fontId="3" fillId="2" borderId="0" xfId="2" applyFont="1" applyFill="1" applyAlignment="1" applyProtection="1">
      <alignment horizontal="center"/>
      <protection locked="0"/>
    </xf>
    <xf numFmtId="16" fontId="3" fillId="3" borderId="1" xfId="4" applyNumberFormat="1" applyFont="1" applyFill="1" applyBorder="1" applyAlignment="1">
      <alignment horizontal="center" vertical="center" textRotation="90" wrapText="1"/>
    </xf>
    <xf numFmtId="0" fontId="3" fillId="3" borderId="3" xfId="4" applyFont="1" applyFill="1" applyBorder="1" applyAlignment="1">
      <alignment horizontal="center" vertical="center" textRotation="90" wrapText="1"/>
    </xf>
    <xf numFmtId="0" fontId="3" fillId="3" borderId="7" xfId="4" applyFont="1" applyFill="1" applyBorder="1" applyAlignment="1">
      <alignment horizontal="center" vertical="center" textRotation="90" wrapText="1"/>
    </xf>
    <xf numFmtId="16" fontId="3" fillId="4" borderId="1" xfId="4" applyNumberFormat="1" applyFont="1" applyFill="1" applyBorder="1" applyAlignment="1">
      <alignment horizontal="center" vertical="center" textRotation="180" wrapText="1"/>
    </xf>
    <xf numFmtId="0" fontId="3" fillId="4" borderId="3" xfId="4" applyFont="1" applyFill="1" applyBorder="1" applyAlignment="1">
      <alignment horizontal="center" vertical="center" textRotation="180" wrapText="1"/>
    </xf>
    <xf numFmtId="0" fontId="3" fillId="4" borderId="7" xfId="4" applyFont="1" applyFill="1" applyBorder="1" applyAlignment="1">
      <alignment horizontal="center" vertical="center" textRotation="180" wrapText="1"/>
    </xf>
    <xf numFmtId="16" fontId="3" fillId="4" borderId="1" xfId="4" applyNumberFormat="1" applyFont="1" applyFill="1" applyBorder="1" applyAlignment="1">
      <alignment horizontal="center" vertical="center" textRotation="90" wrapText="1"/>
    </xf>
    <xf numFmtId="0" fontId="3" fillId="4" borderId="3" xfId="4" applyFont="1" applyFill="1" applyBorder="1" applyAlignment="1">
      <alignment horizontal="center" vertical="center" textRotation="90" wrapText="1"/>
    </xf>
    <xf numFmtId="0" fontId="3" fillId="4" borderId="7" xfId="4" applyFont="1" applyFill="1" applyBorder="1" applyAlignment="1">
      <alignment horizontal="center" vertical="center" textRotation="90" wrapText="1"/>
    </xf>
    <xf numFmtId="16" fontId="3" fillId="3" borderId="1" xfId="4" applyNumberFormat="1" applyFont="1" applyFill="1" applyBorder="1" applyAlignment="1">
      <alignment horizontal="center" vertical="center" textRotation="180" wrapText="1"/>
    </xf>
    <xf numFmtId="0" fontId="3" fillId="3" borderId="3" xfId="4" applyFont="1" applyFill="1" applyBorder="1" applyAlignment="1">
      <alignment horizontal="center" vertical="center" textRotation="180" wrapText="1"/>
    </xf>
    <xf numFmtId="0" fontId="3" fillId="3" borderId="7" xfId="4" applyFont="1" applyFill="1" applyBorder="1" applyAlignment="1">
      <alignment horizontal="center" vertical="center" textRotation="180" wrapText="1"/>
    </xf>
    <xf numFmtId="0" fontId="3" fillId="5" borderId="0" xfId="4" applyFont="1" applyFill="1" applyAlignment="1">
      <alignment horizontal="center" vertical="center" textRotation="90" wrapText="1"/>
    </xf>
    <xf numFmtId="0" fontId="3" fillId="6" borderId="0" xfId="4" applyFont="1" applyFill="1" applyAlignment="1">
      <alignment horizontal="center" vertical="center" textRotation="180" wrapText="1"/>
    </xf>
  </cellXfs>
  <cellStyles count="5">
    <cellStyle name="Normal" xfId="0" builtinId="0"/>
    <cellStyle name="Normal 2" xfId="1" xr:uid="{26AC5E1D-7C64-40EF-8042-498CDF5552C7}"/>
    <cellStyle name="Normal_Master" xfId="2" xr:uid="{C98DA63A-8AC4-4BF6-8130-D9969BF56949}"/>
    <cellStyle name="Normal_Master_1" xfId="4" xr:uid="{3FB95149-6B49-459D-BF53-BA8A5D868648}"/>
    <cellStyle name="Normal_xx" xfId="3" xr:uid="{9A3AF6FE-8F51-4100-899E-7911E19C2A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9983A-8DD9-4485-BC70-7CEB6B242366}">
  <sheetPr codeName="Sheet2">
    <tabColor theme="7" tint="0.79998168889431442"/>
  </sheetPr>
  <dimension ref="A1:AM110"/>
  <sheetViews>
    <sheetView zoomScale="80" zoomScaleNormal="80" workbookViewId="0">
      <selection activeCell="L2" sqref="L2"/>
    </sheetView>
  </sheetViews>
  <sheetFormatPr defaultColWidth="8.85546875" defaultRowHeight="12.75" x14ac:dyDescent="0.2"/>
  <cols>
    <col min="1" max="1" width="6.7109375" style="1" customWidth="1"/>
    <col min="2" max="2" width="0.85546875" style="1" customWidth="1"/>
    <col min="3" max="3" width="3" style="8" bestFit="1" customWidth="1"/>
    <col min="4" max="4" width="15" style="9" bestFit="1" customWidth="1"/>
    <col min="5" max="5" width="4.42578125" style="6" bestFit="1" customWidth="1"/>
    <col min="6" max="6" width="14.28515625" style="52" customWidth="1"/>
    <col min="7" max="7" width="3" style="6" bestFit="1" customWidth="1"/>
    <col min="8" max="8" width="14.28515625" style="6" customWidth="1"/>
    <col min="9" max="9" width="3.42578125" style="6" bestFit="1" customWidth="1"/>
    <col min="10" max="10" width="14.28515625" style="6" customWidth="1"/>
    <col min="11" max="11" width="3.42578125" style="6" bestFit="1" customWidth="1"/>
    <col min="12" max="12" width="14.28515625" style="6" customWidth="1"/>
    <col min="13" max="13" width="3.42578125" style="6" bestFit="1" customWidth="1"/>
    <col min="14" max="14" width="14.28515625" style="6" customWidth="1"/>
    <col min="15" max="15" width="3.42578125" style="6" bestFit="1" customWidth="1"/>
    <col min="16" max="16" width="14.28515625" style="6" customWidth="1"/>
    <col min="17" max="17" width="3.42578125" style="6" bestFit="1" customWidth="1"/>
    <col min="18" max="18" width="14.28515625" style="6" customWidth="1"/>
    <col min="19" max="19" width="3.42578125" style="6" bestFit="1" customWidth="1"/>
    <col min="20" max="20" width="14.28515625" style="6" customWidth="1"/>
    <col min="21" max="21" width="3.42578125" style="6" bestFit="1" customWidth="1"/>
    <col min="22" max="22" width="14.28515625" style="7" customWidth="1"/>
    <col min="23" max="23" width="3" style="6" bestFit="1" customWidth="1"/>
    <col min="24" max="24" width="18.5703125" style="14" bestFit="1" customWidth="1"/>
    <col min="25" max="25" width="3" style="8" bestFit="1" customWidth="1"/>
    <col min="26" max="26" width="0.85546875" style="1" customWidth="1"/>
    <col min="27" max="27" width="6.7109375" style="1" customWidth="1"/>
    <col min="28" max="28" width="8.42578125" style="6" bestFit="1" customWidth="1"/>
    <col min="29" max="29" width="8.85546875" style="6"/>
    <col min="30" max="30" width="18.7109375" style="6" hidden="1" customWidth="1"/>
    <col min="31" max="31" width="14.5703125" style="6" hidden="1" customWidth="1"/>
    <col min="32" max="33" width="16.5703125" style="6" hidden="1" customWidth="1"/>
    <col min="34" max="34" width="13.5703125" style="6" hidden="1" customWidth="1"/>
    <col min="35" max="35" width="14.140625" style="6" hidden="1" customWidth="1"/>
    <col min="36" max="36" width="10.28515625" style="6" customWidth="1"/>
    <col min="37" max="37" width="9.28515625" style="6" customWidth="1"/>
    <col min="38" max="39" width="9.28515625" style="7" customWidth="1"/>
    <col min="40" max="16384" width="8.85546875" style="6"/>
  </cols>
  <sheetData>
    <row r="1" spans="1:37" x14ac:dyDescent="0.2">
      <c r="C1" s="2"/>
      <c r="D1" s="2"/>
      <c r="E1" s="3"/>
      <c r="F1" s="4"/>
      <c r="G1" s="3"/>
      <c r="H1" s="3"/>
      <c r="I1" s="3"/>
      <c r="J1" s="3"/>
      <c r="K1" s="3"/>
      <c r="L1" s="53" t="s">
        <v>72</v>
      </c>
      <c r="M1" s="53"/>
      <c r="N1" s="53"/>
      <c r="O1" s="53"/>
      <c r="P1" s="53"/>
      <c r="Q1" s="3"/>
      <c r="R1" s="3"/>
      <c r="S1" s="3"/>
      <c r="T1" s="3"/>
      <c r="U1" s="3"/>
      <c r="V1" s="5"/>
      <c r="W1" s="3"/>
      <c r="X1" s="2"/>
      <c r="Y1" s="2"/>
    </row>
    <row r="2" spans="1:37" x14ac:dyDescent="0.2">
      <c r="A2" s="1" t="s">
        <v>0</v>
      </c>
      <c r="E2" s="10"/>
      <c r="F2" s="11"/>
      <c r="G2" s="10"/>
      <c r="H2" s="10"/>
      <c r="I2" s="10"/>
      <c r="J2" s="10"/>
      <c r="K2" s="10"/>
      <c r="N2" s="12">
        <f>COUNTIF(E4:W66,"&gt;0")</f>
        <v>63</v>
      </c>
      <c r="Q2" s="10"/>
      <c r="R2" s="13"/>
      <c r="S2" s="10"/>
      <c r="T2" s="13"/>
      <c r="U2" s="10"/>
      <c r="V2" s="13"/>
      <c r="W2" s="10"/>
      <c r="AA2" s="1" t="s">
        <v>0</v>
      </c>
    </row>
    <row r="3" spans="1:37" ht="12.75" customHeight="1" x14ac:dyDescent="0.2">
      <c r="A3" s="54">
        <v>46100</v>
      </c>
      <c r="B3" s="15"/>
      <c r="C3" s="16">
        <v>1</v>
      </c>
      <c r="D3" s="17" t="s">
        <v>1</v>
      </c>
      <c r="E3" s="10"/>
      <c r="F3" s="11"/>
      <c r="G3" s="10"/>
      <c r="H3" s="10"/>
      <c r="M3" s="10"/>
      <c r="O3" s="10"/>
      <c r="T3" s="13"/>
      <c r="U3" s="10"/>
      <c r="V3" s="13"/>
      <c r="W3" s="10"/>
      <c r="X3" s="18" t="s">
        <v>2</v>
      </c>
      <c r="Y3" s="16">
        <v>1</v>
      </c>
      <c r="Z3" s="15"/>
      <c r="AA3" s="57">
        <v>46101</v>
      </c>
      <c r="AD3" s="6" t="str">
        <f>D3</f>
        <v>DUKE</v>
      </c>
    </row>
    <row r="4" spans="1:37" x14ac:dyDescent="0.2">
      <c r="A4" s="55"/>
      <c r="B4" s="15"/>
      <c r="D4" s="19"/>
      <c r="E4" s="20">
        <f>IF(F4=D3,C3)+IF(F4=D5,C5)</f>
        <v>1</v>
      </c>
      <c r="F4" s="21" t="s">
        <v>1</v>
      </c>
      <c r="G4" s="10"/>
      <c r="H4" s="10"/>
      <c r="M4" s="10"/>
      <c r="N4" s="10"/>
      <c r="O4" s="10"/>
      <c r="T4" s="13"/>
      <c r="U4" s="10"/>
      <c r="V4" s="18" t="s">
        <v>2</v>
      </c>
      <c r="W4" s="22">
        <f>IF(V4=X3,Y3)+IF(V4=X5,Y5)</f>
        <v>1</v>
      </c>
      <c r="X4" s="23"/>
      <c r="Z4" s="15"/>
      <c r="AA4" s="58"/>
      <c r="AD4" s="6" t="str">
        <f>D5</f>
        <v>SIENA</v>
      </c>
      <c r="AE4" s="6" t="str">
        <f>F4</f>
        <v>DUKE</v>
      </c>
    </row>
    <row r="5" spans="1:37" x14ac:dyDescent="0.2">
      <c r="A5" s="55"/>
      <c r="B5" s="15"/>
      <c r="C5" s="16">
        <v>16</v>
      </c>
      <c r="D5" s="17" t="s">
        <v>3</v>
      </c>
      <c r="E5" s="24"/>
      <c r="F5" s="25"/>
      <c r="G5" s="26"/>
      <c r="H5" s="10"/>
      <c r="M5" s="10"/>
      <c r="N5" s="10"/>
      <c r="O5" s="10"/>
      <c r="T5" s="13"/>
      <c r="U5" s="10"/>
      <c r="V5" s="27"/>
      <c r="W5" s="28"/>
      <c r="X5" s="29" t="s">
        <v>4</v>
      </c>
      <c r="Y5" s="16">
        <v>16</v>
      </c>
      <c r="Z5" s="15"/>
      <c r="AA5" s="58"/>
      <c r="AD5" s="7" t="str">
        <f>X3</f>
        <v>ARIZONA</v>
      </c>
      <c r="AE5" s="6" t="str">
        <f>F8</f>
        <v>OHIO ST</v>
      </c>
    </row>
    <row r="6" spans="1:37" x14ac:dyDescent="0.2">
      <c r="A6" s="55"/>
      <c r="B6" s="15"/>
      <c r="D6" s="30"/>
      <c r="E6" s="28"/>
      <c r="F6" s="25"/>
      <c r="G6" s="20">
        <f>IF(H6=F4,E4)+IF(H6=F8,E8)</f>
        <v>1</v>
      </c>
      <c r="H6" s="21" t="s">
        <v>1</v>
      </c>
      <c r="I6" s="10"/>
      <c r="J6" s="10"/>
      <c r="K6" s="10"/>
      <c r="L6" s="10"/>
      <c r="M6" s="10"/>
      <c r="N6" s="10"/>
      <c r="O6" s="10"/>
      <c r="P6" s="13"/>
      <c r="Q6" s="10"/>
      <c r="R6" s="13"/>
      <c r="S6" s="10"/>
      <c r="T6" s="18" t="s">
        <v>2</v>
      </c>
      <c r="U6" s="31">
        <f>IF(T6=V4,W4)+IF(T6=V8,W8)</f>
        <v>1</v>
      </c>
      <c r="V6" s="27"/>
      <c r="W6" s="28"/>
      <c r="X6" s="32"/>
      <c r="Z6" s="15"/>
      <c r="AA6" s="58"/>
      <c r="AD6" s="7" t="str">
        <f>X5</f>
        <v>LONG ISLAND</v>
      </c>
      <c r="AE6" s="7" t="str">
        <f>V4</f>
        <v>ARIZONA</v>
      </c>
      <c r="AF6" s="6" t="str">
        <f>H6</f>
        <v>DUKE</v>
      </c>
    </row>
    <row r="7" spans="1:37" x14ac:dyDescent="0.2">
      <c r="A7" s="55"/>
      <c r="B7" s="15"/>
      <c r="C7" s="16">
        <v>8</v>
      </c>
      <c r="D7" s="17" t="s">
        <v>5</v>
      </c>
      <c r="E7" s="10"/>
      <c r="F7" s="11"/>
      <c r="G7" s="24"/>
      <c r="H7" s="28"/>
      <c r="I7" s="26"/>
      <c r="J7" s="10"/>
      <c r="K7" s="10"/>
      <c r="L7" s="10"/>
      <c r="M7" s="10"/>
      <c r="N7" s="10"/>
      <c r="O7" s="10"/>
      <c r="P7" s="10"/>
      <c r="Q7" s="10"/>
      <c r="R7" s="10"/>
      <c r="S7" s="10"/>
      <c r="T7" s="27"/>
      <c r="U7" s="28"/>
      <c r="V7" s="33"/>
      <c r="W7" s="10"/>
      <c r="X7" s="18" t="s">
        <v>6</v>
      </c>
      <c r="Y7" s="16">
        <v>8</v>
      </c>
      <c r="Z7" s="15"/>
      <c r="AA7" s="58"/>
      <c r="AD7" s="6" t="str">
        <f>D7</f>
        <v>OHIO ST</v>
      </c>
      <c r="AE7" s="7" t="str">
        <f>V8</f>
        <v>UTAH ST</v>
      </c>
      <c r="AF7" s="6" t="str">
        <f>H14</f>
        <v>KANSAS</v>
      </c>
    </row>
    <row r="8" spans="1:37" x14ac:dyDescent="0.2">
      <c r="A8" s="55"/>
      <c r="B8" s="15"/>
      <c r="D8" s="19"/>
      <c r="E8" s="20">
        <f>IF(F8=D7,C7)+IF(F8=D9,C9)</f>
        <v>8</v>
      </c>
      <c r="F8" s="17" t="s">
        <v>5</v>
      </c>
      <c r="G8" s="24"/>
      <c r="H8" s="28"/>
      <c r="I8" s="26"/>
      <c r="J8" s="10"/>
      <c r="K8" s="10"/>
      <c r="L8" s="10"/>
      <c r="M8" s="10"/>
      <c r="N8" s="10"/>
      <c r="O8" s="10"/>
      <c r="P8" s="13"/>
      <c r="Q8" s="10"/>
      <c r="R8" s="13"/>
      <c r="S8" s="10"/>
      <c r="T8" s="27"/>
      <c r="U8" s="28"/>
      <c r="V8" s="29" t="s">
        <v>8</v>
      </c>
      <c r="W8" s="22">
        <f>IF(V8=X7,Y7)+IF(V8=X9,Y9)</f>
        <v>9</v>
      </c>
      <c r="X8" s="23"/>
      <c r="Z8" s="15"/>
      <c r="AA8" s="58"/>
      <c r="AD8" s="6" t="str">
        <f>D9</f>
        <v>TCU</v>
      </c>
      <c r="AF8" s="7" t="str">
        <f>T6</f>
        <v>ARIZONA</v>
      </c>
    </row>
    <row r="9" spans="1:37" x14ac:dyDescent="0.2">
      <c r="A9" s="56"/>
      <c r="B9" s="15"/>
      <c r="C9" s="16">
        <v>9</v>
      </c>
      <c r="D9" s="17" t="s">
        <v>7</v>
      </c>
      <c r="E9" s="24"/>
      <c r="F9" s="25"/>
      <c r="G9" s="10"/>
      <c r="H9" s="10"/>
      <c r="I9" s="26"/>
      <c r="J9" s="10"/>
      <c r="K9" s="10"/>
      <c r="L9" s="10"/>
      <c r="M9" s="10"/>
      <c r="N9" s="10"/>
      <c r="O9" s="10"/>
      <c r="P9" s="13"/>
      <c r="Q9" s="10"/>
      <c r="R9" s="13"/>
      <c r="S9" s="10"/>
      <c r="T9" s="33"/>
      <c r="U9" s="10"/>
      <c r="V9" s="34"/>
      <c r="W9" s="28"/>
      <c r="X9" s="29" t="s">
        <v>8</v>
      </c>
      <c r="Y9" s="16">
        <v>9</v>
      </c>
      <c r="Z9" s="15"/>
      <c r="AA9" s="59"/>
      <c r="AD9" s="7" t="str">
        <f>X7</f>
        <v>VILLANOVA</v>
      </c>
      <c r="AF9" s="7" t="str">
        <f>T14</f>
        <v>ARKANSAS</v>
      </c>
    </row>
    <row r="10" spans="1:37" x14ac:dyDescent="0.2">
      <c r="A10" s="35"/>
      <c r="B10" s="15"/>
      <c r="D10" s="30"/>
      <c r="E10" s="28"/>
      <c r="F10" s="25"/>
      <c r="G10" s="10"/>
      <c r="H10" s="10"/>
      <c r="I10" s="20">
        <f>IF(J10=H6,G6)+IF(J10=H14,G14)</f>
        <v>1</v>
      </c>
      <c r="J10" s="21" t="s">
        <v>1</v>
      </c>
      <c r="K10" s="10"/>
      <c r="L10" s="10"/>
      <c r="M10" s="10"/>
      <c r="N10" s="10"/>
      <c r="O10" s="10"/>
      <c r="P10" s="13"/>
      <c r="Q10" s="10"/>
      <c r="R10" s="18" t="s">
        <v>2</v>
      </c>
      <c r="S10" s="31">
        <f>IF(R10=T6,U6)+IF(R10=T14,U14)</f>
        <v>1</v>
      </c>
      <c r="T10" s="33"/>
      <c r="U10" s="10"/>
      <c r="V10" s="34"/>
      <c r="W10" s="28"/>
      <c r="X10" s="32"/>
      <c r="Z10" s="15"/>
      <c r="AA10" s="36"/>
      <c r="AD10" s="7" t="str">
        <f>X9</f>
        <v>UTAH ST</v>
      </c>
      <c r="AG10" s="6" t="str">
        <f>J10</f>
        <v>DUKE</v>
      </c>
      <c r="AI10" s="7"/>
      <c r="AK10" s="7"/>
    </row>
    <row r="11" spans="1:37" ht="12.75" customHeight="1" x14ac:dyDescent="0.2">
      <c r="A11" s="60">
        <v>46101</v>
      </c>
      <c r="B11" s="15"/>
      <c r="C11" s="16">
        <v>5</v>
      </c>
      <c r="D11" s="17" t="s">
        <v>9</v>
      </c>
      <c r="E11" s="10"/>
      <c r="F11" s="11"/>
      <c r="G11" s="10"/>
      <c r="H11" s="10"/>
      <c r="I11" s="24"/>
      <c r="J11" s="28"/>
      <c r="K11" s="26"/>
      <c r="L11" s="10"/>
      <c r="M11" s="10"/>
      <c r="N11" s="10"/>
      <c r="O11" s="10"/>
      <c r="P11" s="13"/>
      <c r="Q11" s="10"/>
      <c r="R11" s="27"/>
      <c r="S11" s="28"/>
      <c r="T11" s="33"/>
      <c r="U11" s="10"/>
      <c r="V11" s="13"/>
      <c r="W11" s="10"/>
      <c r="X11" s="18" t="s">
        <v>10</v>
      </c>
      <c r="Y11" s="16">
        <v>5</v>
      </c>
      <c r="Z11" s="15"/>
      <c r="AA11" s="63">
        <v>46100</v>
      </c>
      <c r="AD11" s="6" t="str">
        <f>D11</f>
        <v>ST JOHNS</v>
      </c>
      <c r="AG11" s="6" t="str">
        <f>J26</f>
        <v>MICH ST</v>
      </c>
      <c r="AI11" s="7"/>
      <c r="AK11" s="7"/>
    </row>
    <row r="12" spans="1:37" x14ac:dyDescent="0.2">
      <c r="A12" s="61"/>
      <c r="B12" s="15"/>
      <c r="D12" s="19"/>
      <c r="E12" s="20">
        <f>IF(F12=D11,C11)+IF(F12=D13,C13)</f>
        <v>5</v>
      </c>
      <c r="F12" s="17" t="s">
        <v>9</v>
      </c>
      <c r="G12" s="10"/>
      <c r="H12" s="10"/>
      <c r="I12" s="24"/>
      <c r="J12" s="28"/>
      <c r="K12" s="26"/>
      <c r="L12" s="10"/>
      <c r="M12" s="10"/>
      <c r="N12" s="10"/>
      <c r="O12" s="10"/>
      <c r="P12" s="13"/>
      <c r="Q12" s="10"/>
      <c r="R12" s="27"/>
      <c r="S12" s="28"/>
      <c r="T12" s="33"/>
      <c r="U12" s="10"/>
      <c r="V12" s="18" t="s">
        <v>10</v>
      </c>
      <c r="W12" s="22">
        <f>IF(V12=X11,Y11)+IF(V12=X13,Y13)</f>
        <v>5</v>
      </c>
      <c r="X12" s="23"/>
      <c r="Z12" s="15"/>
      <c r="AA12" s="64"/>
      <c r="AD12" s="6" t="str">
        <f>D13</f>
        <v>N IOWA</v>
      </c>
      <c r="AE12" s="6" t="str">
        <f>F12</f>
        <v>ST JOHNS</v>
      </c>
      <c r="AG12" s="7" t="str">
        <f>R10</f>
        <v>ARIZONA</v>
      </c>
      <c r="AI12" s="7"/>
      <c r="AJ12" s="7"/>
      <c r="AK12" s="7"/>
    </row>
    <row r="13" spans="1:37" x14ac:dyDescent="0.2">
      <c r="A13" s="61"/>
      <c r="B13" s="15"/>
      <c r="C13" s="16">
        <v>12</v>
      </c>
      <c r="D13" s="17" t="s">
        <v>11</v>
      </c>
      <c r="E13" s="24"/>
      <c r="F13" s="25"/>
      <c r="G13" s="26"/>
      <c r="H13" s="10"/>
      <c r="I13" s="26"/>
      <c r="J13" s="10"/>
      <c r="K13" s="26"/>
      <c r="L13" s="10"/>
      <c r="M13" s="10"/>
      <c r="N13" s="10"/>
      <c r="O13" s="10"/>
      <c r="P13" s="13"/>
      <c r="Q13" s="10"/>
      <c r="R13" s="33"/>
      <c r="S13" s="10"/>
      <c r="T13" s="33"/>
      <c r="U13" s="10"/>
      <c r="V13" s="27"/>
      <c r="W13" s="28"/>
      <c r="X13" s="29" t="s">
        <v>12</v>
      </c>
      <c r="Y13" s="16">
        <v>12</v>
      </c>
      <c r="Z13" s="15"/>
      <c r="AA13" s="64"/>
      <c r="AD13" s="7" t="str">
        <f>X11</f>
        <v>WISCONSIN</v>
      </c>
      <c r="AE13" s="6" t="str">
        <f>F16</f>
        <v>KANSAS</v>
      </c>
      <c r="AG13" s="7" t="str">
        <f>R26</f>
        <v>GONZAGA</v>
      </c>
      <c r="AI13" s="7"/>
      <c r="AJ13" s="7"/>
      <c r="AK13" s="7"/>
    </row>
    <row r="14" spans="1:37" x14ac:dyDescent="0.2">
      <c r="A14" s="61"/>
      <c r="B14" s="15"/>
      <c r="D14" s="30"/>
      <c r="E14" s="28"/>
      <c r="F14" s="25"/>
      <c r="G14" s="20">
        <f>IF(H14=F12,E12)+IF(H14=F16,E16)</f>
        <v>4</v>
      </c>
      <c r="H14" s="17" t="s">
        <v>14</v>
      </c>
      <c r="I14" s="26"/>
      <c r="J14" s="10"/>
      <c r="K14" s="26"/>
      <c r="M14" s="37"/>
      <c r="N14" s="37" t="s">
        <v>13</v>
      </c>
      <c r="O14" s="37"/>
      <c r="P14" s="38"/>
      <c r="Q14" s="10"/>
      <c r="R14" s="33"/>
      <c r="S14" s="10"/>
      <c r="T14" s="18" t="s">
        <v>15</v>
      </c>
      <c r="U14" s="31">
        <f>IF(T14=V12,W12)+IF(T14=V16,W16)</f>
        <v>4</v>
      </c>
      <c r="V14" s="27"/>
      <c r="W14" s="28"/>
      <c r="X14" s="32"/>
      <c r="Z14" s="15"/>
      <c r="AA14" s="64"/>
      <c r="AD14" s="7" t="str">
        <f>X13</f>
        <v>HIGH PT</v>
      </c>
      <c r="AE14" s="7" t="str">
        <f>V12</f>
        <v>WISCONSIN</v>
      </c>
      <c r="AI14" s="7"/>
      <c r="AJ14" s="7"/>
      <c r="AK14" s="7"/>
    </row>
    <row r="15" spans="1:37" x14ac:dyDescent="0.2">
      <c r="A15" s="61"/>
      <c r="B15" s="15"/>
      <c r="C15" s="16">
        <v>4</v>
      </c>
      <c r="D15" s="17" t="s">
        <v>14</v>
      </c>
      <c r="E15" s="10"/>
      <c r="F15" s="11"/>
      <c r="G15" s="24"/>
      <c r="H15" s="28"/>
      <c r="I15" s="10"/>
      <c r="J15" s="10"/>
      <c r="K15" s="26"/>
      <c r="L15" s="10"/>
      <c r="M15" s="10"/>
      <c r="N15" s="10"/>
      <c r="O15" s="10"/>
      <c r="P15" s="13"/>
      <c r="Q15" s="10"/>
      <c r="R15" s="33"/>
      <c r="S15" s="10"/>
      <c r="T15" s="34"/>
      <c r="U15" s="28"/>
      <c r="V15" s="33"/>
      <c r="W15" s="10"/>
      <c r="X15" s="18" t="s">
        <v>15</v>
      </c>
      <c r="Y15" s="16">
        <v>4</v>
      </c>
      <c r="Z15" s="15"/>
      <c r="AA15" s="64"/>
      <c r="AD15" s="6" t="str">
        <f>D15</f>
        <v>KANSAS</v>
      </c>
      <c r="AE15" s="7" t="str">
        <f>V16</f>
        <v>ARKANSAS</v>
      </c>
      <c r="AI15" s="7"/>
      <c r="AJ15" s="7"/>
      <c r="AK15" s="7"/>
    </row>
    <row r="16" spans="1:37" ht="12.75" customHeight="1" x14ac:dyDescent="0.2">
      <c r="A16" s="61"/>
      <c r="B16" s="15"/>
      <c r="D16" s="19"/>
      <c r="E16" s="20">
        <f>IF(F16=D15,C15)+IF(F16=D17,C17)</f>
        <v>4</v>
      </c>
      <c r="F16" s="17" t="s">
        <v>14</v>
      </c>
      <c r="G16" s="24"/>
      <c r="H16" s="66" t="s">
        <v>16</v>
      </c>
      <c r="I16" s="10"/>
      <c r="J16" s="10"/>
      <c r="K16" s="26"/>
      <c r="L16" s="10"/>
      <c r="M16" s="10"/>
      <c r="N16" s="10"/>
      <c r="O16" s="10"/>
      <c r="P16" s="13"/>
      <c r="Q16" s="10"/>
      <c r="R16" s="33"/>
      <c r="S16" s="10"/>
      <c r="T16" s="67" t="s">
        <v>17</v>
      </c>
      <c r="U16" s="28"/>
      <c r="V16" s="18" t="s">
        <v>15</v>
      </c>
      <c r="W16" s="22">
        <f>IF(V16=X15,Y15)+IF(V16=X17,Y17)</f>
        <v>4</v>
      </c>
      <c r="X16" s="23"/>
      <c r="Z16" s="15"/>
      <c r="AA16" s="64"/>
      <c r="AD16" s="6" t="str">
        <f>D17</f>
        <v>CAL BAP</v>
      </c>
      <c r="AI16" s="7"/>
      <c r="AJ16" s="7"/>
      <c r="AK16" s="7"/>
    </row>
    <row r="17" spans="1:37" x14ac:dyDescent="0.2">
      <c r="A17" s="62"/>
      <c r="B17" s="15"/>
      <c r="C17" s="16">
        <v>13</v>
      </c>
      <c r="D17" s="17" t="s">
        <v>18</v>
      </c>
      <c r="E17" s="24"/>
      <c r="F17" s="25"/>
      <c r="G17" s="10"/>
      <c r="H17" s="66"/>
      <c r="I17" s="10"/>
      <c r="J17" s="10"/>
      <c r="K17" s="20">
        <f>IF(L17=J10,I10)+IF(L17=J26,I26)</f>
        <v>1</v>
      </c>
      <c r="L17" s="21" t="s">
        <v>1</v>
      </c>
      <c r="M17" s="10"/>
      <c r="N17" s="10"/>
      <c r="O17" s="10"/>
      <c r="P17" s="18" t="s">
        <v>2</v>
      </c>
      <c r="Q17" s="31">
        <f>IF(P17=R10,S10)+IF(P17=R26,S26)</f>
        <v>1</v>
      </c>
      <c r="R17" s="33"/>
      <c r="S17" s="10"/>
      <c r="T17" s="67"/>
      <c r="U17" s="10"/>
      <c r="V17" s="34"/>
      <c r="W17" s="28"/>
      <c r="X17" s="29" t="s">
        <v>19</v>
      </c>
      <c r="Y17" s="16">
        <v>13</v>
      </c>
      <c r="Z17" s="15"/>
      <c r="AA17" s="65"/>
      <c r="AD17" s="7" t="str">
        <f>X15</f>
        <v>ARKANSAS</v>
      </c>
      <c r="AH17" s="6" t="str">
        <f>L17</f>
        <v>DUKE</v>
      </c>
      <c r="AJ17" s="7"/>
      <c r="AK17" s="7"/>
    </row>
    <row r="18" spans="1:37" x14ac:dyDescent="0.2">
      <c r="A18" s="35"/>
      <c r="B18" s="15"/>
      <c r="D18" s="30"/>
      <c r="E18" s="28"/>
      <c r="F18" s="25"/>
      <c r="H18" s="66"/>
      <c r="I18" s="39"/>
      <c r="J18" s="40"/>
      <c r="K18" s="24"/>
      <c r="L18" s="28"/>
      <c r="M18" s="26"/>
      <c r="N18" s="10"/>
      <c r="O18" s="10"/>
      <c r="P18" s="41"/>
      <c r="Q18" s="28"/>
      <c r="R18" s="42"/>
      <c r="S18" s="39"/>
      <c r="T18" s="67"/>
      <c r="U18" s="39"/>
      <c r="V18" s="34"/>
      <c r="W18" s="28"/>
      <c r="X18" s="32"/>
      <c r="Z18" s="15"/>
      <c r="AA18" s="36"/>
      <c r="AD18" s="7" t="str">
        <f>X17</f>
        <v>HAWAII</v>
      </c>
      <c r="AH18" s="6" t="str">
        <f>L51</f>
        <v>ILLINOIS</v>
      </c>
      <c r="AJ18" s="7"/>
      <c r="AK18" s="7"/>
    </row>
    <row r="19" spans="1:37" ht="12.75" customHeight="1" x14ac:dyDescent="0.2">
      <c r="A19" s="54">
        <v>46100</v>
      </c>
      <c r="B19" s="15"/>
      <c r="C19" s="16">
        <v>6</v>
      </c>
      <c r="D19" s="17" t="s">
        <v>20</v>
      </c>
      <c r="E19" s="10"/>
      <c r="F19" s="11"/>
      <c r="G19" s="10"/>
      <c r="H19" s="66"/>
      <c r="I19" s="10"/>
      <c r="J19" s="10"/>
      <c r="K19" s="24"/>
      <c r="L19" s="28"/>
      <c r="M19" s="26"/>
      <c r="N19" s="10"/>
      <c r="O19" s="10"/>
      <c r="P19" s="27"/>
      <c r="Q19" s="28"/>
      <c r="R19" s="33"/>
      <c r="S19" s="10"/>
      <c r="T19" s="67"/>
      <c r="U19" s="10"/>
      <c r="V19" s="13"/>
      <c r="W19" s="10"/>
      <c r="X19" s="18" t="s">
        <v>21</v>
      </c>
      <c r="Y19" s="16">
        <v>6</v>
      </c>
      <c r="Z19" s="15"/>
      <c r="AA19" s="63">
        <v>46100</v>
      </c>
      <c r="AD19" s="6" t="str">
        <f>D19</f>
        <v>LOUISVILLE</v>
      </c>
      <c r="AH19" s="7" t="str">
        <f>P17</f>
        <v>ARIZONA</v>
      </c>
      <c r="AI19" s="7"/>
      <c r="AJ19" s="7"/>
      <c r="AK19" s="7"/>
    </row>
    <row r="20" spans="1:37" ht="12.75" customHeight="1" x14ac:dyDescent="0.2">
      <c r="A20" s="55"/>
      <c r="B20" s="15"/>
      <c r="D20" s="19"/>
      <c r="E20" s="20">
        <f>IF(F20=D19,C19)+IF(F20=D21,C21)</f>
        <v>6</v>
      </c>
      <c r="F20" s="17" t="s">
        <v>20</v>
      </c>
      <c r="G20" s="10"/>
      <c r="H20" s="66"/>
      <c r="I20" s="10"/>
      <c r="J20" s="10"/>
      <c r="K20" s="26"/>
      <c r="L20" s="10"/>
      <c r="M20" s="26"/>
      <c r="N20" s="10"/>
      <c r="O20" s="10"/>
      <c r="P20" s="33"/>
      <c r="Q20" s="10"/>
      <c r="R20" s="33"/>
      <c r="S20" s="10"/>
      <c r="T20" s="67"/>
      <c r="U20" s="10"/>
      <c r="V20" s="29" t="s">
        <v>23</v>
      </c>
      <c r="W20" s="22">
        <f>IF(V20=X19,Y19)+IF(V20=X21,Y21)</f>
        <v>11</v>
      </c>
      <c r="X20" s="23"/>
      <c r="Z20" s="15"/>
      <c r="AA20" s="64"/>
      <c r="AD20" s="6" t="str">
        <f>D21</f>
        <v>S FLORIDA</v>
      </c>
      <c r="AE20" s="6" t="str">
        <f>F20</f>
        <v>LOUISVILLE</v>
      </c>
      <c r="AH20" s="7" t="str">
        <f>P51</f>
        <v>MICHIGAN</v>
      </c>
      <c r="AI20" s="7"/>
      <c r="AJ20" s="7"/>
      <c r="AK20" s="7"/>
    </row>
    <row r="21" spans="1:37" x14ac:dyDescent="0.2">
      <c r="A21" s="55"/>
      <c r="B21" s="15"/>
      <c r="C21" s="16">
        <v>11</v>
      </c>
      <c r="D21" s="17" t="s">
        <v>22</v>
      </c>
      <c r="E21" s="24"/>
      <c r="F21" s="25"/>
      <c r="G21" s="26"/>
      <c r="H21" s="10"/>
      <c r="I21" s="10"/>
      <c r="J21" s="10"/>
      <c r="K21" s="26"/>
      <c r="L21" s="10"/>
      <c r="M21" s="26"/>
      <c r="N21" s="10"/>
      <c r="O21" s="10"/>
      <c r="P21" s="33"/>
      <c r="Q21" s="10"/>
      <c r="R21" s="33"/>
      <c r="S21" s="10"/>
      <c r="T21" s="13"/>
      <c r="U21" s="10"/>
      <c r="V21" s="27"/>
      <c r="W21" s="28"/>
      <c r="X21" s="29" t="s">
        <v>23</v>
      </c>
      <c r="Y21" s="16">
        <v>11</v>
      </c>
      <c r="Z21" s="15"/>
      <c r="AA21" s="64"/>
      <c r="AD21" s="7" t="str">
        <f>X19</f>
        <v>BYU</v>
      </c>
      <c r="AE21" s="6" t="str">
        <f>F24</f>
        <v>MICH ST</v>
      </c>
      <c r="AI21" s="7"/>
      <c r="AJ21" s="7"/>
      <c r="AK21" s="7"/>
    </row>
    <row r="22" spans="1:37" x14ac:dyDescent="0.2">
      <c r="A22" s="55"/>
      <c r="B22" s="15"/>
      <c r="D22" s="30"/>
      <c r="E22" s="28"/>
      <c r="F22" s="25"/>
      <c r="G22" s="20">
        <f>IF(H22=F20,E20)+IF(H22=F24,E24)</f>
        <v>3</v>
      </c>
      <c r="H22" s="17" t="s">
        <v>24</v>
      </c>
      <c r="I22" s="10"/>
      <c r="J22" s="10"/>
      <c r="K22" s="26"/>
      <c r="L22" s="10"/>
      <c r="M22" s="26"/>
      <c r="N22" s="10"/>
      <c r="O22" s="10"/>
      <c r="P22" s="33"/>
      <c r="Q22" s="10"/>
      <c r="R22" s="33"/>
      <c r="S22" s="10"/>
      <c r="T22" s="18" t="s">
        <v>25</v>
      </c>
      <c r="U22" s="31">
        <f>IF(T22=V20,W20)+IF(T22=V24,W24)</f>
        <v>3</v>
      </c>
      <c r="V22" s="27"/>
      <c r="W22" s="28"/>
      <c r="X22" s="32"/>
      <c r="Z22" s="15"/>
      <c r="AA22" s="64"/>
      <c r="AD22" s="7" t="str">
        <f>X21</f>
        <v>NC ST/TX</v>
      </c>
      <c r="AE22" s="7" t="str">
        <f>V20</f>
        <v>NC ST/TX</v>
      </c>
      <c r="AF22" s="6" t="str">
        <f>H22</f>
        <v>MICH ST</v>
      </c>
      <c r="AI22" s="7"/>
      <c r="AJ22" s="7"/>
      <c r="AK22" s="7"/>
    </row>
    <row r="23" spans="1:37" x14ac:dyDescent="0.2">
      <c r="A23" s="55"/>
      <c r="B23" s="15"/>
      <c r="C23" s="16">
        <v>3</v>
      </c>
      <c r="D23" s="17" t="s">
        <v>24</v>
      </c>
      <c r="E23" s="10"/>
      <c r="F23" s="11"/>
      <c r="G23" s="24"/>
      <c r="H23" s="28"/>
      <c r="I23" s="26"/>
      <c r="J23" s="10"/>
      <c r="K23" s="26"/>
      <c r="L23" s="10"/>
      <c r="M23" s="26"/>
      <c r="N23" s="10"/>
      <c r="O23" s="10"/>
      <c r="P23" s="33"/>
      <c r="Q23" s="10"/>
      <c r="R23" s="33"/>
      <c r="S23" s="10"/>
      <c r="T23" s="27"/>
      <c r="U23" s="28"/>
      <c r="V23" s="33"/>
      <c r="W23" s="10"/>
      <c r="X23" s="18" t="s">
        <v>25</v>
      </c>
      <c r="Y23" s="16">
        <v>3</v>
      </c>
      <c r="Z23" s="15"/>
      <c r="AA23" s="64"/>
      <c r="AD23" s="6" t="str">
        <f>D23</f>
        <v>MICH ST</v>
      </c>
      <c r="AE23" s="7" t="str">
        <f>V24</f>
        <v>GONZAGA</v>
      </c>
      <c r="AF23" s="6" t="str">
        <f>H30</f>
        <v>UCLA</v>
      </c>
      <c r="AI23" s="7"/>
      <c r="AJ23" s="7"/>
      <c r="AK23" s="7"/>
    </row>
    <row r="24" spans="1:37" x14ac:dyDescent="0.2">
      <c r="A24" s="55"/>
      <c r="B24" s="15"/>
      <c r="D24" s="19"/>
      <c r="E24" s="20">
        <f>IF(F24=D23,C23)+IF(F24=D25,C25)</f>
        <v>3</v>
      </c>
      <c r="F24" s="17" t="s">
        <v>24</v>
      </c>
      <c r="G24" s="24"/>
      <c r="H24" s="43"/>
      <c r="I24" s="26"/>
      <c r="J24" s="10"/>
      <c r="K24" s="26"/>
      <c r="L24" s="10"/>
      <c r="M24" s="26"/>
      <c r="N24" s="10"/>
      <c r="O24" s="10"/>
      <c r="P24" s="33"/>
      <c r="Q24" s="10"/>
      <c r="R24" s="33"/>
      <c r="S24" s="10"/>
      <c r="T24" s="44"/>
      <c r="U24" s="28"/>
      <c r="V24" s="18" t="s">
        <v>25</v>
      </c>
      <c r="W24" s="22">
        <f>IF(V24=X23,Y23)+IF(V24=X25,Y25)</f>
        <v>3</v>
      </c>
      <c r="X24" s="23"/>
      <c r="Z24" s="15"/>
      <c r="AA24" s="64"/>
      <c r="AD24" s="6" t="str">
        <f>D25</f>
        <v>N DAK ST</v>
      </c>
      <c r="AF24" s="7" t="str">
        <f>T22</f>
        <v>GONZAGA</v>
      </c>
      <c r="AI24" s="7"/>
      <c r="AJ24" s="7"/>
      <c r="AK24" s="7"/>
    </row>
    <row r="25" spans="1:37" x14ac:dyDescent="0.2">
      <c r="A25" s="56"/>
      <c r="B25" s="15"/>
      <c r="C25" s="16">
        <v>14</v>
      </c>
      <c r="D25" s="17" t="s">
        <v>26</v>
      </c>
      <c r="E25" s="24"/>
      <c r="F25" s="25"/>
      <c r="G25" s="10"/>
      <c r="H25" s="10"/>
      <c r="I25" s="26"/>
      <c r="J25" s="10"/>
      <c r="K25" s="26"/>
      <c r="L25" s="10"/>
      <c r="M25" s="26"/>
      <c r="N25" s="10"/>
      <c r="O25" s="10"/>
      <c r="P25" s="33"/>
      <c r="Q25" s="10"/>
      <c r="R25" s="33"/>
      <c r="S25" s="10"/>
      <c r="T25" s="33"/>
      <c r="U25" s="10"/>
      <c r="V25" s="34"/>
      <c r="W25" s="28"/>
      <c r="X25" s="29" t="s">
        <v>27</v>
      </c>
      <c r="Y25" s="16">
        <v>14</v>
      </c>
      <c r="Z25" s="15"/>
      <c r="AA25" s="65"/>
      <c r="AD25" s="7" t="str">
        <f>X23</f>
        <v>GONZAGA</v>
      </c>
      <c r="AF25" s="7" t="str">
        <f>T30</f>
        <v>PURDUE</v>
      </c>
      <c r="AI25" s="7"/>
      <c r="AJ25" s="7"/>
      <c r="AK25" s="7"/>
    </row>
    <row r="26" spans="1:37" x14ac:dyDescent="0.2">
      <c r="A26" s="35"/>
      <c r="B26" s="15"/>
      <c r="D26" s="30"/>
      <c r="E26" s="28"/>
      <c r="F26" s="25"/>
      <c r="G26" s="10"/>
      <c r="H26" s="10"/>
      <c r="I26" s="20">
        <f>IF(J26=H22,G22)+IF(J26=H30,G30)</f>
        <v>3</v>
      </c>
      <c r="J26" s="17" t="s">
        <v>24</v>
      </c>
      <c r="K26" s="26"/>
      <c r="L26" s="10"/>
      <c r="M26" s="26"/>
      <c r="N26" s="10"/>
      <c r="O26" s="10"/>
      <c r="P26" s="33"/>
      <c r="Q26" s="10"/>
      <c r="R26" s="18" t="s">
        <v>25</v>
      </c>
      <c r="S26" s="31">
        <f>IF(R26=T22,U22)+IF(R26=T30,U30)</f>
        <v>3</v>
      </c>
      <c r="T26" s="33"/>
      <c r="U26" s="10"/>
      <c r="V26" s="34"/>
      <c r="W26" s="28"/>
      <c r="X26" s="32"/>
      <c r="Z26" s="15"/>
      <c r="AA26" s="36"/>
      <c r="AD26" s="7" t="str">
        <f>X25</f>
        <v>KENNESAW</v>
      </c>
      <c r="AI26" s="7"/>
      <c r="AJ26" s="7"/>
      <c r="AK26" s="7"/>
    </row>
    <row r="27" spans="1:37" ht="12.75" customHeight="1" x14ac:dyDescent="0.2">
      <c r="A27" s="60">
        <v>46101</v>
      </c>
      <c r="B27" s="15"/>
      <c r="C27" s="16">
        <v>7</v>
      </c>
      <c r="D27" s="17" t="s">
        <v>28</v>
      </c>
      <c r="E27" s="10"/>
      <c r="F27" s="11"/>
      <c r="G27" s="10"/>
      <c r="H27" s="10"/>
      <c r="I27" s="24"/>
      <c r="J27" s="28"/>
      <c r="K27" s="10"/>
      <c r="L27" s="10"/>
      <c r="M27" s="26"/>
      <c r="N27" s="10"/>
      <c r="O27" s="10"/>
      <c r="P27" s="33"/>
      <c r="Q27" s="10"/>
      <c r="R27" s="34"/>
      <c r="S27" s="28"/>
      <c r="T27" s="33"/>
      <c r="U27" s="10"/>
      <c r="V27" s="13"/>
      <c r="W27" s="10"/>
      <c r="X27" s="18" t="s">
        <v>29</v>
      </c>
      <c r="Y27" s="16">
        <v>7</v>
      </c>
      <c r="Z27" s="15"/>
      <c r="AA27" s="57">
        <v>46101</v>
      </c>
      <c r="AD27" s="6" t="str">
        <f>D27</f>
        <v>UCLA</v>
      </c>
      <c r="AI27" s="45" t="str">
        <f>N32</f>
        <v>DUKE</v>
      </c>
      <c r="AJ27" s="7"/>
      <c r="AK27" s="7"/>
    </row>
    <row r="28" spans="1:37" x14ac:dyDescent="0.2">
      <c r="A28" s="61"/>
      <c r="B28" s="15"/>
      <c r="D28" s="19"/>
      <c r="E28" s="20">
        <f>IF(F28=D27,C27)+IF(F28=D29,C29)</f>
        <v>7</v>
      </c>
      <c r="F28" s="17" t="s">
        <v>28</v>
      </c>
      <c r="G28" s="10"/>
      <c r="H28" s="10"/>
      <c r="I28" s="24"/>
      <c r="J28" s="28"/>
      <c r="K28" s="10"/>
      <c r="L28" s="10"/>
      <c r="M28" s="26"/>
      <c r="N28" s="10"/>
      <c r="O28" s="10"/>
      <c r="P28" s="33"/>
      <c r="Q28" s="10"/>
      <c r="R28" s="34"/>
      <c r="S28" s="28"/>
      <c r="T28" s="33"/>
      <c r="U28" s="10"/>
      <c r="V28" s="29" t="s">
        <v>31</v>
      </c>
      <c r="W28" s="22">
        <f>IF(V28=X27,Y27)+IF(V28=X29,Y29)</f>
        <v>10</v>
      </c>
      <c r="X28" s="23"/>
      <c r="Z28" s="15"/>
      <c r="AA28" s="58"/>
      <c r="AD28" s="6" t="str">
        <f>D29</f>
        <v>UCF</v>
      </c>
      <c r="AE28" s="6" t="str">
        <f>F28</f>
        <v>UCLA</v>
      </c>
      <c r="AI28" s="45" t="str">
        <f>N38</f>
        <v>MICHIGAN</v>
      </c>
      <c r="AJ28" s="7"/>
      <c r="AK28" s="7"/>
    </row>
    <row r="29" spans="1:37" x14ac:dyDescent="0.2">
      <c r="A29" s="61"/>
      <c r="B29" s="15"/>
      <c r="C29" s="16">
        <v>10</v>
      </c>
      <c r="D29" s="17" t="s">
        <v>30</v>
      </c>
      <c r="E29" s="24"/>
      <c r="F29" s="25"/>
      <c r="G29" s="26"/>
      <c r="H29" s="10"/>
      <c r="I29" s="26"/>
      <c r="J29" s="10"/>
      <c r="K29" s="10"/>
      <c r="L29" s="10"/>
      <c r="M29" s="26"/>
      <c r="N29" s="10"/>
      <c r="O29" s="10"/>
      <c r="P29" s="33"/>
      <c r="Q29" s="10"/>
      <c r="R29" s="13"/>
      <c r="S29" s="10"/>
      <c r="T29" s="33"/>
      <c r="U29" s="10"/>
      <c r="V29" s="27"/>
      <c r="W29" s="28"/>
      <c r="X29" s="29" t="s">
        <v>31</v>
      </c>
      <c r="Y29" s="16">
        <v>10</v>
      </c>
      <c r="Z29" s="15"/>
      <c r="AA29" s="58"/>
      <c r="AD29" s="7" t="str">
        <f>X27</f>
        <v>MIAMI (FL)</v>
      </c>
      <c r="AE29" s="6" t="str">
        <f>F32</f>
        <v>UCONN</v>
      </c>
      <c r="AI29" s="7"/>
      <c r="AJ29" s="7"/>
      <c r="AK29" s="7"/>
    </row>
    <row r="30" spans="1:37" x14ac:dyDescent="0.2">
      <c r="A30" s="61"/>
      <c r="B30" s="15"/>
      <c r="D30" s="30"/>
      <c r="E30" s="28"/>
      <c r="F30" s="25"/>
      <c r="G30" s="20">
        <f>IF(H30=F28,E28)+IF(H30=F32,E32)</f>
        <v>7</v>
      </c>
      <c r="H30" s="17" t="s">
        <v>28</v>
      </c>
      <c r="I30" s="26"/>
      <c r="J30" s="10"/>
      <c r="K30" s="10"/>
      <c r="L30" s="10"/>
      <c r="M30" s="26"/>
      <c r="N30" s="10"/>
      <c r="O30" s="10"/>
      <c r="P30" s="33"/>
      <c r="Q30" s="10"/>
      <c r="R30" s="13"/>
      <c r="S30" s="10"/>
      <c r="T30" s="18" t="s">
        <v>33</v>
      </c>
      <c r="U30" s="31">
        <f>IF(T30=V28,W28)+IF(T30=V32,W32)</f>
        <v>2</v>
      </c>
      <c r="V30" s="27"/>
      <c r="W30" s="28"/>
      <c r="X30" s="32"/>
      <c r="Z30" s="15"/>
      <c r="AA30" s="58"/>
      <c r="AD30" s="7" t="str">
        <f>X29</f>
        <v>MISSOURI</v>
      </c>
      <c r="AE30" s="7" t="str">
        <f>V28</f>
        <v>MISSOURI</v>
      </c>
      <c r="AI30" s="7"/>
      <c r="AJ30" s="7"/>
      <c r="AK30" s="7"/>
    </row>
    <row r="31" spans="1:37" x14ac:dyDescent="0.2">
      <c r="A31" s="61"/>
      <c r="B31" s="15"/>
      <c r="C31" s="16">
        <v>2</v>
      </c>
      <c r="D31" s="17" t="s">
        <v>32</v>
      </c>
      <c r="E31" s="10"/>
      <c r="F31" s="11"/>
      <c r="G31" s="24"/>
      <c r="H31" s="28"/>
      <c r="I31" s="10"/>
      <c r="J31" s="10"/>
      <c r="K31" s="10"/>
      <c r="L31" s="10"/>
      <c r="M31" s="26"/>
      <c r="N31" s="10"/>
      <c r="O31" s="10"/>
      <c r="P31" s="33"/>
      <c r="Q31" s="10"/>
      <c r="R31" s="13"/>
      <c r="S31" s="10"/>
      <c r="T31" s="34"/>
      <c r="U31" s="28"/>
      <c r="V31" s="33"/>
      <c r="W31" s="10"/>
      <c r="X31" s="18" t="s">
        <v>33</v>
      </c>
      <c r="Y31" s="16">
        <v>2</v>
      </c>
      <c r="Z31" s="15"/>
      <c r="AA31" s="58"/>
      <c r="AD31" s="6" t="str">
        <f>D31</f>
        <v>UCONN</v>
      </c>
      <c r="AE31" s="7" t="str">
        <f>V32</f>
        <v>PURDUE</v>
      </c>
      <c r="AI31" s="7"/>
      <c r="AJ31" s="7"/>
      <c r="AK31" s="7"/>
    </row>
    <row r="32" spans="1:37" x14ac:dyDescent="0.2">
      <c r="A32" s="61"/>
      <c r="B32" s="15"/>
      <c r="D32" s="19"/>
      <c r="E32" s="20">
        <f>IF(F32=D31,C31)+IF(F32=D33,C33)</f>
        <v>2</v>
      </c>
      <c r="F32" s="17" t="s">
        <v>32</v>
      </c>
      <c r="G32" s="24"/>
      <c r="H32" s="28"/>
      <c r="K32" s="10"/>
      <c r="L32" s="10"/>
      <c r="M32" s="20">
        <f>IF(N32=L17,K17)+IF(N32=L51,K51)</f>
        <v>1</v>
      </c>
      <c r="N32" s="21" t="s">
        <v>1</v>
      </c>
      <c r="O32" s="10"/>
      <c r="P32" s="33"/>
      <c r="Q32" s="10"/>
      <c r="R32" s="13"/>
      <c r="S32" s="10"/>
      <c r="T32" s="46"/>
      <c r="U32" s="28"/>
      <c r="V32" s="18" t="s">
        <v>33</v>
      </c>
      <c r="W32" s="22">
        <f>IF(V32=X31,Y31)+IF(V32=X33,Y33)</f>
        <v>2</v>
      </c>
      <c r="X32" s="23"/>
      <c r="Z32" s="15"/>
      <c r="AA32" s="58"/>
      <c r="AD32" s="6" t="str">
        <f>D33</f>
        <v>FURMAN</v>
      </c>
      <c r="AI32" s="7"/>
      <c r="AJ32" s="7"/>
      <c r="AK32" s="7"/>
    </row>
    <row r="33" spans="1:37" x14ac:dyDescent="0.2">
      <c r="A33" s="62"/>
      <c r="B33" s="15"/>
      <c r="C33" s="16">
        <v>15</v>
      </c>
      <c r="D33" s="17" t="s">
        <v>34</v>
      </c>
      <c r="E33" s="24"/>
      <c r="F33" s="25"/>
      <c r="G33" s="10"/>
      <c r="H33" s="10"/>
      <c r="L33" s="10"/>
      <c r="M33" s="47"/>
      <c r="O33" s="10"/>
      <c r="P33" s="33"/>
      <c r="Q33" s="10"/>
      <c r="R33" s="13"/>
      <c r="S33" s="10"/>
      <c r="T33" s="13"/>
      <c r="U33" s="10"/>
      <c r="V33" s="34"/>
      <c r="W33" s="28"/>
      <c r="X33" s="29" t="s">
        <v>35</v>
      </c>
      <c r="Y33" s="16">
        <v>15</v>
      </c>
      <c r="Z33" s="15"/>
      <c r="AA33" s="59"/>
      <c r="AD33" s="7" t="str">
        <f>X31</f>
        <v>PURDUE</v>
      </c>
      <c r="AI33" s="7"/>
      <c r="AJ33" s="7"/>
      <c r="AK33" s="7"/>
    </row>
    <row r="34" spans="1:37" x14ac:dyDescent="0.2">
      <c r="A34" s="35"/>
      <c r="B34" s="15"/>
      <c r="E34" s="28"/>
      <c r="F34" s="25"/>
      <c r="G34" s="10"/>
      <c r="H34" s="10"/>
      <c r="L34" s="10"/>
      <c r="M34" s="24"/>
      <c r="N34" s="28"/>
      <c r="O34" s="10"/>
      <c r="P34" s="33"/>
      <c r="Q34" s="10"/>
      <c r="R34" s="13"/>
      <c r="S34" s="10"/>
      <c r="T34" s="13"/>
      <c r="U34" s="10"/>
      <c r="V34" s="34"/>
      <c r="W34" s="28"/>
      <c r="Z34" s="15"/>
      <c r="AA34" s="35"/>
      <c r="AD34" s="7" t="str">
        <f>X33</f>
        <v>QUEENS</v>
      </c>
      <c r="AI34" s="7"/>
      <c r="AJ34" s="7"/>
      <c r="AK34" s="7"/>
    </row>
    <row r="35" spans="1:37" x14ac:dyDescent="0.2">
      <c r="A35" s="35"/>
      <c r="B35" s="15"/>
      <c r="C35" s="2"/>
      <c r="D35" s="2"/>
      <c r="E35" s="3"/>
      <c r="F35" s="4"/>
      <c r="G35" s="3"/>
      <c r="H35" s="3"/>
      <c r="I35" s="3"/>
      <c r="J35" s="3"/>
      <c r="K35" s="3"/>
      <c r="L35" s="48"/>
      <c r="M35" s="24"/>
      <c r="N35" s="18" t="s">
        <v>37</v>
      </c>
      <c r="P35" s="24"/>
      <c r="Q35" s="3"/>
      <c r="R35" s="3"/>
      <c r="S35" s="3"/>
      <c r="T35" s="5"/>
      <c r="U35" s="3"/>
      <c r="V35" s="5"/>
      <c r="W35" s="3"/>
      <c r="X35" s="2"/>
      <c r="Y35" s="2"/>
      <c r="Z35" s="15"/>
      <c r="AA35" s="35"/>
      <c r="AI35" s="7"/>
      <c r="AJ35" s="7"/>
      <c r="AK35" s="7"/>
    </row>
    <row r="36" spans="1:37" x14ac:dyDescent="0.2">
      <c r="A36" s="35"/>
      <c r="B36" s="15"/>
      <c r="E36" s="10"/>
      <c r="F36" s="11"/>
      <c r="G36" s="10"/>
      <c r="H36" s="10"/>
      <c r="I36" s="10"/>
      <c r="J36" s="10"/>
      <c r="K36" s="10"/>
      <c r="L36" s="10"/>
      <c r="M36" s="26"/>
      <c r="N36" s="49">
        <f>IF(N35=N32,M32)+IF(N35=N38,O38)</f>
        <v>1</v>
      </c>
      <c r="O36" s="10"/>
      <c r="P36" s="27"/>
      <c r="Q36" s="10"/>
      <c r="R36" s="13"/>
      <c r="S36" s="10"/>
      <c r="T36" s="13"/>
      <c r="U36" s="10"/>
      <c r="V36" s="13"/>
      <c r="W36" s="10"/>
      <c r="Z36" s="15"/>
      <c r="AA36" s="35"/>
      <c r="AI36" s="7"/>
      <c r="AJ36" s="7"/>
      <c r="AK36" s="7"/>
    </row>
    <row r="37" spans="1:37" ht="12.75" customHeight="1" x14ac:dyDescent="0.2">
      <c r="A37" s="60">
        <v>46101</v>
      </c>
      <c r="B37" s="15"/>
      <c r="C37" s="16">
        <v>1</v>
      </c>
      <c r="D37" s="17" t="s">
        <v>36</v>
      </c>
      <c r="E37" s="10"/>
      <c r="F37" s="11"/>
      <c r="G37" s="10"/>
      <c r="H37" s="10"/>
      <c r="I37" s="10"/>
      <c r="J37" s="10"/>
      <c r="K37" s="10"/>
      <c r="L37" s="10"/>
      <c r="M37" s="26"/>
      <c r="P37" s="33"/>
      <c r="Q37" s="10"/>
      <c r="R37" s="13"/>
      <c r="S37" s="10"/>
      <c r="T37" s="13"/>
      <c r="U37" s="10"/>
      <c r="V37" s="13"/>
      <c r="W37" s="10"/>
      <c r="X37" s="18" t="s">
        <v>37</v>
      </c>
      <c r="Y37" s="16">
        <v>1</v>
      </c>
      <c r="Z37" s="15"/>
      <c r="AA37" s="63">
        <v>46100</v>
      </c>
      <c r="AD37" s="6" t="str">
        <f>D37</f>
        <v>FLORIDA</v>
      </c>
      <c r="AI37" s="7"/>
      <c r="AJ37" s="7"/>
      <c r="AK37" s="7"/>
    </row>
    <row r="38" spans="1:37" x14ac:dyDescent="0.2">
      <c r="A38" s="61"/>
      <c r="B38" s="15"/>
      <c r="D38" s="19"/>
      <c r="E38" s="20">
        <f>IF(F38=D37,C37)+IF(F38=D39,C39)</f>
        <v>1</v>
      </c>
      <c r="F38" s="17" t="s">
        <v>36</v>
      </c>
      <c r="G38" s="10"/>
      <c r="H38" s="10"/>
      <c r="I38" s="10"/>
      <c r="J38" s="10"/>
      <c r="K38" s="10"/>
      <c r="L38" s="10"/>
      <c r="M38" s="26"/>
      <c r="N38" s="18" t="s">
        <v>37</v>
      </c>
      <c r="O38" s="31">
        <f>IF(N38=P17,Q17)+IF(N38=P51,Q51)</f>
        <v>1</v>
      </c>
      <c r="P38" s="33"/>
      <c r="Q38" s="10"/>
      <c r="R38" s="13"/>
      <c r="S38" s="10"/>
      <c r="T38" s="13"/>
      <c r="U38" s="10"/>
      <c r="V38" s="18" t="s">
        <v>37</v>
      </c>
      <c r="W38" s="22">
        <f>IF(V38=X37,Y37)+IF(V38=X39,Y39)</f>
        <v>1</v>
      </c>
      <c r="X38" s="23"/>
      <c r="Z38" s="15"/>
      <c r="AA38" s="64"/>
      <c r="AD38" s="6" t="str">
        <f>D39</f>
        <v>LEHIGH/PVAM</v>
      </c>
      <c r="AE38" s="6" t="str">
        <f>F38</f>
        <v>FLORIDA</v>
      </c>
      <c r="AI38" s="7"/>
      <c r="AJ38" s="7"/>
      <c r="AK38" s="7"/>
    </row>
    <row r="39" spans="1:37" x14ac:dyDescent="0.2">
      <c r="A39" s="61"/>
      <c r="B39" s="15"/>
      <c r="C39" s="16">
        <v>16</v>
      </c>
      <c r="D39" s="17" t="s">
        <v>38</v>
      </c>
      <c r="E39" s="24"/>
      <c r="F39" s="25"/>
      <c r="G39" s="26"/>
      <c r="H39" s="10"/>
      <c r="I39" s="10"/>
      <c r="J39" s="10"/>
      <c r="K39" s="10"/>
      <c r="L39" s="10"/>
      <c r="M39" s="26"/>
      <c r="N39" s="34"/>
      <c r="O39" s="28"/>
      <c r="P39" s="33"/>
      <c r="Q39" s="10"/>
      <c r="R39" s="13"/>
      <c r="S39" s="10"/>
      <c r="T39" s="13"/>
      <c r="U39" s="10"/>
      <c r="V39" s="27"/>
      <c r="W39" s="28"/>
      <c r="X39" s="29" t="s">
        <v>39</v>
      </c>
      <c r="Y39" s="16">
        <v>16</v>
      </c>
      <c r="Z39" s="15"/>
      <c r="AA39" s="64"/>
      <c r="AD39" s="7" t="str">
        <f>X37</f>
        <v>MICHIGAN</v>
      </c>
      <c r="AE39" s="6" t="str">
        <f>F42</f>
        <v>IOWA</v>
      </c>
      <c r="AI39" s="7"/>
      <c r="AJ39" s="7"/>
      <c r="AK39" s="7"/>
    </row>
    <row r="40" spans="1:37" x14ac:dyDescent="0.2">
      <c r="A40" s="61"/>
      <c r="B40" s="15"/>
      <c r="D40" s="30"/>
      <c r="E40" s="28"/>
      <c r="F40" s="25"/>
      <c r="G40" s="20">
        <f>IF(H40=F38,E38)+IF(H40=F42,E42)</f>
        <v>1</v>
      </c>
      <c r="H40" s="17" t="s">
        <v>36</v>
      </c>
      <c r="I40" s="10"/>
      <c r="J40" s="10"/>
      <c r="K40" s="10"/>
      <c r="L40" s="10"/>
      <c r="M40" s="26"/>
      <c r="N40" s="10"/>
      <c r="O40" s="10"/>
      <c r="P40" s="33"/>
      <c r="Q40" s="10"/>
      <c r="R40" s="13"/>
      <c r="S40" s="10"/>
      <c r="T40" s="18" t="s">
        <v>37</v>
      </c>
      <c r="U40" s="31">
        <f>IF(T40=V38,W38)+IF(T40=V42,W42)</f>
        <v>1</v>
      </c>
      <c r="V40" s="27"/>
      <c r="W40" s="28"/>
      <c r="X40" s="32"/>
      <c r="Z40" s="15"/>
      <c r="AA40" s="64"/>
      <c r="AD40" s="7" t="str">
        <f>X39</f>
        <v>HOW/UMBC</v>
      </c>
      <c r="AE40" s="7" t="str">
        <f>V38</f>
        <v>MICHIGAN</v>
      </c>
      <c r="AF40" s="6" t="str">
        <f>H40</f>
        <v>FLORIDA</v>
      </c>
      <c r="AI40" s="7"/>
      <c r="AJ40" s="7"/>
      <c r="AK40" s="7"/>
    </row>
    <row r="41" spans="1:37" x14ac:dyDescent="0.2">
      <c r="A41" s="61"/>
      <c r="B41" s="15"/>
      <c r="C41" s="16">
        <v>8</v>
      </c>
      <c r="D41" s="17" t="s">
        <v>40</v>
      </c>
      <c r="E41" s="10"/>
      <c r="F41" s="11"/>
      <c r="G41" s="24"/>
      <c r="H41" s="28"/>
      <c r="I41" s="26"/>
      <c r="J41" s="10"/>
      <c r="K41" s="10"/>
      <c r="L41" s="10"/>
      <c r="M41" s="26"/>
      <c r="N41" s="10"/>
      <c r="O41" s="10"/>
      <c r="P41" s="33"/>
      <c r="Q41" s="10"/>
      <c r="R41" s="13"/>
      <c r="S41" s="10"/>
      <c r="T41" s="27"/>
      <c r="U41" s="28"/>
      <c r="V41" s="33"/>
      <c r="W41" s="10"/>
      <c r="X41" s="18" t="s">
        <v>41</v>
      </c>
      <c r="Y41" s="16">
        <v>8</v>
      </c>
      <c r="Z41" s="15"/>
      <c r="AA41" s="64"/>
      <c r="AD41" s="6" t="str">
        <f>D41</f>
        <v>CLEMSON</v>
      </c>
      <c r="AE41" s="7" t="str">
        <f>V42</f>
        <v>GEORGIA</v>
      </c>
      <c r="AF41" s="6" t="str">
        <f>H48</f>
        <v>VANDY</v>
      </c>
      <c r="AI41" s="7"/>
      <c r="AJ41" s="7"/>
      <c r="AK41" s="7"/>
    </row>
    <row r="42" spans="1:37" x14ac:dyDescent="0.2">
      <c r="A42" s="61"/>
      <c r="B42" s="15"/>
      <c r="D42" s="19"/>
      <c r="E42" s="20">
        <f>IF(F42=D41,C41)+IF(F42=D43,C43)</f>
        <v>9</v>
      </c>
      <c r="F42" s="17" t="s">
        <v>42</v>
      </c>
      <c r="G42" s="24"/>
      <c r="H42" s="28"/>
      <c r="I42" s="26"/>
      <c r="J42" s="10"/>
      <c r="K42" s="10"/>
      <c r="L42" s="10"/>
      <c r="M42" s="26"/>
      <c r="N42" s="10"/>
      <c r="O42" s="10"/>
      <c r="P42" s="33"/>
      <c r="Q42" s="10"/>
      <c r="R42" s="13"/>
      <c r="S42" s="10"/>
      <c r="T42" s="27"/>
      <c r="U42" s="28"/>
      <c r="V42" s="18" t="s">
        <v>41</v>
      </c>
      <c r="W42" s="22">
        <f>IF(V42=X41,Y41)+IF(V42=X43,Y43)</f>
        <v>8</v>
      </c>
      <c r="X42" s="23"/>
      <c r="Z42" s="15"/>
      <c r="AA42" s="64"/>
      <c r="AD42" s="6" t="str">
        <f>D43</f>
        <v>IOWA</v>
      </c>
      <c r="AF42" s="7" t="str">
        <f>T40</f>
        <v>MICHIGAN</v>
      </c>
      <c r="AI42" s="7"/>
      <c r="AJ42" s="7"/>
      <c r="AK42" s="7"/>
    </row>
    <row r="43" spans="1:37" x14ac:dyDescent="0.2">
      <c r="A43" s="62"/>
      <c r="B43" s="15"/>
      <c r="C43" s="16">
        <v>9</v>
      </c>
      <c r="D43" s="17" t="s">
        <v>42</v>
      </c>
      <c r="E43" s="24"/>
      <c r="F43" s="25"/>
      <c r="G43" s="10"/>
      <c r="H43" s="10"/>
      <c r="I43" s="26"/>
      <c r="J43" s="10"/>
      <c r="K43" s="10"/>
      <c r="L43" s="10"/>
      <c r="M43" s="26"/>
      <c r="N43" s="10"/>
      <c r="O43" s="10"/>
      <c r="P43" s="33"/>
      <c r="Q43" s="10"/>
      <c r="R43" s="13"/>
      <c r="S43" s="10"/>
      <c r="T43" s="33"/>
      <c r="U43" s="10"/>
      <c r="V43" s="34"/>
      <c r="W43" s="28"/>
      <c r="X43" s="29" t="s">
        <v>43</v>
      </c>
      <c r="Y43" s="16">
        <v>9</v>
      </c>
      <c r="Z43" s="15"/>
      <c r="AA43" s="65"/>
      <c r="AD43" s="7" t="str">
        <f>X41</f>
        <v>GEORGIA</v>
      </c>
      <c r="AF43" s="7" t="str">
        <f>T48</f>
        <v>TEXAS TECH</v>
      </c>
      <c r="AI43" s="7"/>
      <c r="AJ43" s="7"/>
      <c r="AK43" s="7"/>
    </row>
    <row r="44" spans="1:37" x14ac:dyDescent="0.2">
      <c r="A44" s="35"/>
      <c r="B44" s="15"/>
      <c r="D44" s="30"/>
      <c r="E44" s="28"/>
      <c r="F44" s="25"/>
      <c r="G44" s="10"/>
      <c r="H44" s="10"/>
      <c r="I44" s="20">
        <f>IF(J44=H40,G40)+IF(J44=H48,G48)</f>
        <v>1</v>
      </c>
      <c r="J44" s="17" t="s">
        <v>36</v>
      </c>
      <c r="K44" s="10"/>
      <c r="L44" s="10"/>
      <c r="M44" s="26"/>
      <c r="N44" s="10"/>
      <c r="O44" s="10"/>
      <c r="P44" s="33"/>
      <c r="Q44" s="10"/>
      <c r="R44" s="18" t="s">
        <v>37</v>
      </c>
      <c r="S44" s="31">
        <f>IF(R44=T40,U40)+IF(R44=T48,U48)</f>
        <v>1</v>
      </c>
      <c r="T44" s="33"/>
      <c r="U44" s="10"/>
      <c r="V44" s="34"/>
      <c r="W44" s="28"/>
      <c r="X44" s="32"/>
      <c r="Z44" s="15"/>
      <c r="AA44" s="35"/>
      <c r="AD44" s="7" t="str">
        <f>X43</f>
        <v>ST LOUIS</v>
      </c>
      <c r="AG44" s="6" t="str">
        <f>J44</f>
        <v>FLORIDA</v>
      </c>
      <c r="AI44" s="7"/>
      <c r="AK44" s="7"/>
    </row>
    <row r="45" spans="1:37" ht="12.75" customHeight="1" x14ac:dyDescent="0.2">
      <c r="A45" s="54">
        <v>46100</v>
      </c>
      <c r="B45" s="15"/>
      <c r="C45" s="16">
        <v>5</v>
      </c>
      <c r="D45" s="17" t="s">
        <v>44</v>
      </c>
      <c r="E45" s="10"/>
      <c r="F45" s="11"/>
      <c r="G45" s="10"/>
      <c r="H45" s="10"/>
      <c r="I45" s="24"/>
      <c r="J45" s="28"/>
      <c r="K45" s="26"/>
      <c r="L45" s="10"/>
      <c r="M45" s="26"/>
      <c r="N45" s="10"/>
      <c r="O45" s="10"/>
      <c r="P45" s="33"/>
      <c r="Q45" s="10"/>
      <c r="R45" s="27"/>
      <c r="S45" s="28"/>
      <c r="T45" s="33"/>
      <c r="U45" s="10"/>
      <c r="V45" s="13"/>
      <c r="W45" s="10"/>
      <c r="X45" s="18" t="s">
        <v>45</v>
      </c>
      <c r="Y45" s="16">
        <v>5</v>
      </c>
      <c r="Z45" s="15"/>
      <c r="AA45" s="57">
        <v>46101</v>
      </c>
      <c r="AD45" s="6" t="str">
        <f>D45</f>
        <v>VANDY</v>
      </c>
      <c r="AG45" s="6" t="str">
        <f>J60</f>
        <v>ILLINOIS</v>
      </c>
      <c r="AI45" s="7"/>
      <c r="AK45" s="7"/>
    </row>
    <row r="46" spans="1:37" x14ac:dyDescent="0.2">
      <c r="A46" s="55"/>
      <c r="B46" s="15"/>
      <c r="D46" s="19"/>
      <c r="E46" s="20">
        <f>IF(F46=D45,C45)+IF(F46=D47,C47)</f>
        <v>5</v>
      </c>
      <c r="F46" s="17" t="s">
        <v>44</v>
      </c>
      <c r="G46" s="10"/>
      <c r="H46" s="10"/>
      <c r="I46" s="24"/>
      <c r="J46" s="28"/>
      <c r="K46" s="26"/>
      <c r="L46" s="10"/>
      <c r="M46" s="26"/>
      <c r="N46" s="10"/>
      <c r="O46" s="10"/>
      <c r="P46" s="33"/>
      <c r="Q46" s="10"/>
      <c r="R46" s="27"/>
      <c r="S46" s="28"/>
      <c r="T46" s="33"/>
      <c r="U46" s="10"/>
      <c r="V46" s="18" t="s">
        <v>45</v>
      </c>
      <c r="W46" s="22">
        <f>IF(V46=X45,Y45)+IF(V46=X47,Y47)</f>
        <v>5</v>
      </c>
      <c r="X46" s="23"/>
      <c r="Z46" s="15"/>
      <c r="AA46" s="58"/>
      <c r="AD46" s="6" t="str">
        <f>D47</f>
        <v>MCNEESE</v>
      </c>
      <c r="AE46" s="6" t="str">
        <f>F46</f>
        <v>VANDY</v>
      </c>
      <c r="AG46" s="7" t="str">
        <f>R44</f>
        <v>MICHIGAN</v>
      </c>
      <c r="AI46" s="7"/>
      <c r="AJ46" s="7"/>
      <c r="AK46" s="7"/>
    </row>
    <row r="47" spans="1:37" x14ac:dyDescent="0.2">
      <c r="A47" s="55"/>
      <c r="B47" s="15"/>
      <c r="C47" s="16">
        <v>12</v>
      </c>
      <c r="D47" s="17" t="s">
        <v>46</v>
      </c>
      <c r="E47" s="24"/>
      <c r="F47" s="25"/>
      <c r="G47" s="26"/>
      <c r="H47" s="10"/>
      <c r="I47" s="26"/>
      <c r="J47" s="10"/>
      <c r="K47" s="26"/>
      <c r="L47" s="10"/>
      <c r="M47" s="26"/>
      <c r="N47" s="10"/>
      <c r="O47" s="10"/>
      <c r="P47" s="33"/>
      <c r="Q47" s="10"/>
      <c r="R47" s="33"/>
      <c r="S47" s="10"/>
      <c r="T47" s="33"/>
      <c r="U47" s="10"/>
      <c r="V47" s="27"/>
      <c r="W47" s="28"/>
      <c r="X47" s="29" t="s">
        <v>47</v>
      </c>
      <c r="Y47" s="16">
        <v>12</v>
      </c>
      <c r="Z47" s="15"/>
      <c r="AA47" s="58"/>
      <c r="AD47" s="7" t="str">
        <f>X45</f>
        <v>TEXAS TECH</v>
      </c>
      <c r="AE47" s="6" t="str">
        <f>F50</f>
        <v>NEBRASKA</v>
      </c>
      <c r="AG47" s="7" t="str">
        <f>R60</f>
        <v>IOWA ST</v>
      </c>
      <c r="AI47" s="7"/>
      <c r="AJ47" s="7"/>
      <c r="AK47" s="7"/>
    </row>
    <row r="48" spans="1:37" x14ac:dyDescent="0.2">
      <c r="A48" s="55"/>
      <c r="B48" s="15"/>
      <c r="D48" s="30"/>
      <c r="E48" s="28"/>
      <c r="F48" s="25"/>
      <c r="G48" s="20">
        <f>IF(H48=F46,E46)+IF(H48=F50,E50)</f>
        <v>5</v>
      </c>
      <c r="H48" s="17" t="s">
        <v>44</v>
      </c>
      <c r="I48" s="26"/>
      <c r="J48" s="10"/>
      <c r="K48" s="26"/>
      <c r="L48" s="10"/>
      <c r="M48" s="26"/>
      <c r="N48" s="10"/>
      <c r="O48" s="10"/>
      <c r="P48" s="33"/>
      <c r="Q48" s="10"/>
      <c r="R48" s="33"/>
      <c r="S48" s="50"/>
      <c r="T48" s="18" t="s">
        <v>45</v>
      </c>
      <c r="U48" s="31">
        <f>IF(T48=V46,W46)+IF(T48=V50,W50)</f>
        <v>5</v>
      </c>
      <c r="V48" s="27"/>
      <c r="W48" s="28"/>
      <c r="X48" s="32"/>
      <c r="Z48" s="15"/>
      <c r="AA48" s="58"/>
      <c r="AD48" s="7" t="str">
        <f>X47</f>
        <v>AKRON</v>
      </c>
      <c r="AE48" s="7" t="str">
        <f>V46</f>
        <v>TEXAS TECH</v>
      </c>
      <c r="AI48" s="7"/>
      <c r="AJ48" s="7"/>
      <c r="AK48" s="7"/>
    </row>
    <row r="49" spans="1:32" x14ac:dyDescent="0.2">
      <c r="A49" s="55"/>
      <c r="B49" s="15"/>
      <c r="C49" s="16">
        <v>4</v>
      </c>
      <c r="D49" s="17" t="s">
        <v>48</v>
      </c>
      <c r="E49" s="10"/>
      <c r="F49" s="11"/>
      <c r="G49" s="24"/>
      <c r="H49" s="28"/>
      <c r="I49" s="10"/>
      <c r="J49" s="10"/>
      <c r="K49" s="26"/>
      <c r="L49" s="10"/>
      <c r="M49" s="26"/>
      <c r="N49" s="10"/>
      <c r="O49" s="10"/>
      <c r="P49" s="33"/>
      <c r="Q49" s="10"/>
      <c r="R49" s="33"/>
      <c r="S49" s="10"/>
      <c r="T49" s="34"/>
      <c r="U49" s="28"/>
      <c r="V49" s="33"/>
      <c r="W49" s="10"/>
      <c r="X49" s="18" t="s">
        <v>49</v>
      </c>
      <c r="Y49" s="16">
        <v>4</v>
      </c>
      <c r="Z49" s="15"/>
      <c r="AA49" s="58"/>
      <c r="AD49" s="6" t="str">
        <f>D49</f>
        <v>NEBRASKA</v>
      </c>
      <c r="AE49" s="7" t="str">
        <f>V50</f>
        <v>ALABAMA</v>
      </c>
    </row>
    <row r="50" spans="1:32" ht="12.75" customHeight="1" x14ac:dyDescent="0.2">
      <c r="A50" s="55"/>
      <c r="B50" s="15"/>
      <c r="D50" s="19"/>
      <c r="E50" s="20">
        <f>IF(F50=D49,C49)+IF(F50=D51,C51)</f>
        <v>4</v>
      </c>
      <c r="F50" s="17" t="s">
        <v>48</v>
      </c>
      <c r="G50" s="24"/>
      <c r="H50" s="66" t="s">
        <v>50</v>
      </c>
      <c r="I50" s="10"/>
      <c r="J50" s="10"/>
      <c r="K50" s="26"/>
      <c r="L50" s="10"/>
      <c r="M50" s="26"/>
      <c r="N50" s="10"/>
      <c r="O50" s="10"/>
      <c r="P50" s="33"/>
      <c r="Q50" s="10"/>
      <c r="R50" s="33"/>
      <c r="S50" s="10"/>
      <c r="T50" s="67" t="s">
        <v>51</v>
      </c>
      <c r="U50" s="28"/>
      <c r="V50" s="18" t="s">
        <v>49</v>
      </c>
      <c r="W50" s="22">
        <f>IF(V50=X49,Y49)+IF(V50=X51,Y51)</f>
        <v>4</v>
      </c>
      <c r="X50" s="23"/>
      <c r="Z50" s="15"/>
      <c r="AA50" s="58"/>
      <c r="AD50" s="6" t="str">
        <f>D51</f>
        <v>TROY</v>
      </c>
    </row>
    <row r="51" spans="1:32" x14ac:dyDescent="0.2">
      <c r="A51" s="56"/>
      <c r="B51" s="15"/>
      <c r="C51" s="16">
        <v>13</v>
      </c>
      <c r="D51" s="17" t="s">
        <v>52</v>
      </c>
      <c r="E51" s="24"/>
      <c r="F51" s="25"/>
      <c r="G51" s="10"/>
      <c r="H51" s="66"/>
      <c r="I51" s="10"/>
      <c r="J51" s="10"/>
      <c r="K51" s="20">
        <f>IF(L51=J44,I44)+IF(L51=J60,I60)</f>
        <v>3</v>
      </c>
      <c r="L51" s="17" t="s">
        <v>58</v>
      </c>
      <c r="M51" s="26"/>
      <c r="N51" s="10"/>
      <c r="O51" s="50"/>
      <c r="P51" s="18" t="s">
        <v>37</v>
      </c>
      <c r="Q51" s="31">
        <f>IF(P51=R44,S44)+IF(P51=R60,S60)</f>
        <v>1</v>
      </c>
      <c r="R51" s="33"/>
      <c r="S51" s="10"/>
      <c r="T51" s="67"/>
      <c r="U51" s="10"/>
      <c r="V51" s="34"/>
      <c r="W51" s="28"/>
      <c r="X51" s="29" t="s">
        <v>53</v>
      </c>
      <c r="Y51" s="16">
        <v>13</v>
      </c>
      <c r="Z51" s="15"/>
      <c r="AA51" s="59"/>
      <c r="AD51" s="7" t="str">
        <f>X49</f>
        <v>ALABAMA</v>
      </c>
    </row>
    <row r="52" spans="1:32" x14ac:dyDescent="0.2">
      <c r="A52" s="35"/>
      <c r="B52" s="15"/>
      <c r="D52" s="30"/>
      <c r="E52" s="28"/>
      <c r="F52" s="25"/>
      <c r="H52" s="66"/>
      <c r="I52" s="39"/>
      <c r="J52" s="40"/>
      <c r="K52" s="24"/>
      <c r="L52" s="28"/>
      <c r="M52" s="10"/>
      <c r="N52" s="10"/>
      <c r="O52" s="10"/>
      <c r="P52" s="34"/>
      <c r="Q52" s="28"/>
      <c r="R52" s="42"/>
      <c r="S52" s="39"/>
      <c r="T52" s="67"/>
      <c r="U52" s="39"/>
      <c r="V52" s="34"/>
      <c r="W52" s="28"/>
      <c r="X52" s="32"/>
      <c r="Z52" s="15"/>
      <c r="AA52" s="35"/>
      <c r="AD52" s="7" t="str">
        <f>X51</f>
        <v>HOFSTRA</v>
      </c>
    </row>
    <row r="53" spans="1:32" ht="12.75" customHeight="1" x14ac:dyDescent="0.2">
      <c r="A53" s="54">
        <v>46100</v>
      </c>
      <c r="B53" s="15"/>
      <c r="C53" s="16">
        <v>6</v>
      </c>
      <c r="D53" s="17" t="s">
        <v>54</v>
      </c>
      <c r="E53" s="10"/>
      <c r="F53" s="11"/>
      <c r="G53" s="10"/>
      <c r="H53" s="66"/>
      <c r="I53" s="10"/>
      <c r="J53" s="10"/>
      <c r="K53" s="24"/>
      <c r="L53" s="28"/>
      <c r="M53" s="10"/>
      <c r="N53" s="10"/>
      <c r="O53" s="10"/>
      <c r="P53" s="34"/>
      <c r="Q53" s="28"/>
      <c r="R53" s="33"/>
      <c r="S53" s="10"/>
      <c r="T53" s="67"/>
      <c r="U53" s="10"/>
      <c r="V53" s="13"/>
      <c r="W53" s="10"/>
      <c r="X53" s="18" t="s">
        <v>55</v>
      </c>
      <c r="Y53" s="16">
        <v>6</v>
      </c>
      <c r="Z53" s="15"/>
      <c r="AA53" s="57">
        <v>46101</v>
      </c>
      <c r="AD53" s="6" t="str">
        <f>D53</f>
        <v>N CAROLINA</v>
      </c>
    </row>
    <row r="54" spans="1:32" ht="12.75" customHeight="1" x14ac:dyDescent="0.2">
      <c r="A54" s="55"/>
      <c r="B54" s="15"/>
      <c r="D54" s="19"/>
      <c r="E54" s="20">
        <f>IF(F54=D53,C53)+IF(F54=D55,C55)</f>
        <v>11</v>
      </c>
      <c r="F54" s="17" t="s">
        <v>56</v>
      </c>
      <c r="G54" s="10"/>
      <c r="H54" s="66"/>
      <c r="I54" s="10"/>
      <c r="J54" s="10"/>
      <c r="K54" s="26"/>
      <c r="L54" s="10"/>
      <c r="M54" s="10"/>
      <c r="N54" s="10"/>
      <c r="O54" s="10"/>
      <c r="P54" s="13"/>
      <c r="Q54" s="10"/>
      <c r="R54" s="33"/>
      <c r="S54" s="10"/>
      <c r="T54" s="67"/>
      <c r="U54" s="10"/>
      <c r="V54" s="18" t="s">
        <v>55</v>
      </c>
      <c r="W54" s="22">
        <f>IF(V54=X53,Y53)+IF(V54=X55,Y55)</f>
        <v>6</v>
      </c>
      <c r="X54" s="23"/>
      <c r="Z54" s="15"/>
      <c r="AA54" s="58"/>
      <c r="AD54" s="6" t="str">
        <f>D55</f>
        <v>VCU</v>
      </c>
      <c r="AE54" s="6" t="str">
        <f>F54</f>
        <v>VCU</v>
      </c>
    </row>
    <row r="55" spans="1:32" x14ac:dyDescent="0.2">
      <c r="A55" s="55"/>
      <c r="B55" s="15"/>
      <c r="C55" s="16">
        <v>11</v>
      </c>
      <c r="D55" s="17" t="s">
        <v>56</v>
      </c>
      <c r="E55" s="24"/>
      <c r="F55" s="25"/>
      <c r="G55" s="26"/>
      <c r="H55" s="10"/>
      <c r="I55" s="10"/>
      <c r="J55" s="10"/>
      <c r="K55" s="26"/>
      <c r="L55" s="10"/>
      <c r="M55" s="10"/>
      <c r="N55" s="10"/>
      <c r="O55" s="10"/>
      <c r="P55" s="13"/>
      <c r="Q55" s="10"/>
      <c r="R55" s="33"/>
      <c r="S55" s="10"/>
      <c r="T55" s="13"/>
      <c r="U55" s="10"/>
      <c r="V55" s="27"/>
      <c r="W55" s="28"/>
      <c r="X55" s="29" t="s">
        <v>57</v>
      </c>
      <c r="Y55" s="16">
        <v>11</v>
      </c>
      <c r="Z55" s="15"/>
      <c r="AA55" s="58"/>
      <c r="AD55" s="7" t="str">
        <f>X53</f>
        <v>TENNESSEE</v>
      </c>
      <c r="AE55" s="6" t="str">
        <f>F58</f>
        <v>ILLINOIS</v>
      </c>
    </row>
    <row r="56" spans="1:32" x14ac:dyDescent="0.2">
      <c r="A56" s="55"/>
      <c r="B56" s="15"/>
      <c r="D56" s="30"/>
      <c r="E56" s="28"/>
      <c r="F56" s="25"/>
      <c r="G56" s="20">
        <f>IF(H56=F54,E54)+IF(H56=F58,E58)</f>
        <v>3</v>
      </c>
      <c r="H56" s="17" t="s">
        <v>58</v>
      </c>
      <c r="I56" s="10"/>
      <c r="J56" s="10"/>
      <c r="K56" s="26"/>
      <c r="L56" s="10"/>
      <c r="M56" s="10"/>
      <c r="N56" s="10"/>
      <c r="O56" s="10"/>
      <c r="P56" s="13"/>
      <c r="Q56" s="10"/>
      <c r="R56" s="33"/>
      <c r="S56" s="10"/>
      <c r="T56" s="18" t="s">
        <v>55</v>
      </c>
      <c r="U56" s="31">
        <f>IF(T56=V54,W54)+IF(T56=V58,W58)</f>
        <v>6</v>
      </c>
      <c r="V56" s="27"/>
      <c r="W56" s="28"/>
      <c r="X56" s="32"/>
      <c r="Z56" s="15"/>
      <c r="AA56" s="58"/>
      <c r="AD56" s="7" t="str">
        <f>X55</f>
        <v>SMU/MIA (OH)</v>
      </c>
      <c r="AE56" s="7" t="str">
        <f>V54</f>
        <v>TENNESSEE</v>
      </c>
      <c r="AF56" s="6" t="str">
        <f>H56</f>
        <v>ILLINOIS</v>
      </c>
    </row>
    <row r="57" spans="1:32" x14ac:dyDescent="0.2">
      <c r="A57" s="55"/>
      <c r="B57" s="15"/>
      <c r="C57" s="16">
        <v>3</v>
      </c>
      <c r="D57" s="17" t="s">
        <v>58</v>
      </c>
      <c r="E57" s="10"/>
      <c r="F57" s="11"/>
      <c r="G57" s="24"/>
      <c r="H57" s="28"/>
      <c r="I57" s="26"/>
      <c r="J57" s="10"/>
      <c r="K57" s="26"/>
      <c r="L57" s="10"/>
      <c r="M57" s="10"/>
      <c r="N57" s="10"/>
      <c r="O57" s="10"/>
      <c r="P57" s="13"/>
      <c r="Q57" s="10"/>
      <c r="R57" s="33"/>
      <c r="S57" s="10"/>
      <c r="T57" s="27"/>
      <c r="U57" s="28"/>
      <c r="V57" s="33"/>
      <c r="W57" s="10"/>
      <c r="X57" s="18" t="s">
        <v>59</v>
      </c>
      <c r="Y57" s="16">
        <v>3</v>
      </c>
      <c r="Z57" s="15"/>
      <c r="AA57" s="58"/>
      <c r="AD57" s="6" t="str">
        <f>D57</f>
        <v>ILLINOIS</v>
      </c>
      <c r="AE57" s="7" t="str">
        <f>V58</f>
        <v>VIRGINIA</v>
      </c>
      <c r="AF57" s="6" t="str">
        <f>H64</f>
        <v>HOUSTON</v>
      </c>
    </row>
    <row r="58" spans="1:32" x14ac:dyDescent="0.2">
      <c r="A58" s="55"/>
      <c r="B58" s="15"/>
      <c r="D58" s="19"/>
      <c r="E58" s="20">
        <f>IF(F58=D57,C57)+IF(F58=D59,C59)</f>
        <v>3</v>
      </c>
      <c r="F58" s="17" t="s">
        <v>58</v>
      </c>
      <c r="G58" s="24"/>
      <c r="H58" s="43"/>
      <c r="I58" s="26"/>
      <c r="J58" s="10"/>
      <c r="K58" s="26"/>
      <c r="L58" s="10"/>
      <c r="M58" s="10"/>
      <c r="N58" s="10"/>
      <c r="O58" s="10"/>
      <c r="P58" s="13"/>
      <c r="Q58" s="10"/>
      <c r="R58" s="33"/>
      <c r="S58" s="10"/>
      <c r="T58" s="44"/>
      <c r="U58" s="28"/>
      <c r="V58" s="18" t="s">
        <v>59</v>
      </c>
      <c r="W58" s="22">
        <f>IF(V58=X57,Y57)+IF(V58=X59,Y59)</f>
        <v>3</v>
      </c>
      <c r="X58" s="23"/>
      <c r="Z58" s="15"/>
      <c r="AA58" s="58"/>
      <c r="AD58" s="6" t="str">
        <f>D59</f>
        <v>PENN</v>
      </c>
      <c r="AF58" s="7" t="str">
        <f>T56</f>
        <v>TENNESSEE</v>
      </c>
    </row>
    <row r="59" spans="1:32" x14ac:dyDescent="0.2">
      <c r="A59" s="56"/>
      <c r="B59" s="15"/>
      <c r="C59" s="16">
        <v>14</v>
      </c>
      <c r="D59" s="17" t="s">
        <v>60</v>
      </c>
      <c r="E59" s="24"/>
      <c r="F59" s="25"/>
      <c r="G59" s="10"/>
      <c r="H59" s="10"/>
      <c r="I59" s="26"/>
      <c r="J59" s="10"/>
      <c r="K59" s="26"/>
      <c r="L59" s="10"/>
      <c r="M59" s="10"/>
      <c r="N59" s="10"/>
      <c r="O59" s="10"/>
      <c r="P59" s="13"/>
      <c r="Q59" s="10"/>
      <c r="R59" s="33"/>
      <c r="S59" s="10"/>
      <c r="T59" s="33"/>
      <c r="U59" s="10"/>
      <c r="V59" s="34"/>
      <c r="W59" s="28"/>
      <c r="X59" s="29" t="s">
        <v>61</v>
      </c>
      <c r="Y59" s="16">
        <v>14</v>
      </c>
      <c r="Z59" s="15"/>
      <c r="AA59" s="59"/>
      <c r="AD59" s="7" t="str">
        <f>X57</f>
        <v>VIRGINIA</v>
      </c>
      <c r="AF59" s="7" t="str">
        <f>T64</f>
        <v>IOWA ST</v>
      </c>
    </row>
    <row r="60" spans="1:32" x14ac:dyDescent="0.2">
      <c r="A60" s="35"/>
      <c r="B60" s="15"/>
      <c r="D60" s="30"/>
      <c r="E60" s="28"/>
      <c r="F60" s="25"/>
      <c r="G60" s="10"/>
      <c r="H60" s="10"/>
      <c r="I60" s="20">
        <f>IF(J60=H56,G56)+IF(J60=H64,G64)</f>
        <v>3</v>
      </c>
      <c r="J60" s="17" t="s">
        <v>58</v>
      </c>
      <c r="K60" s="26"/>
      <c r="L60" s="10"/>
      <c r="M60" s="10"/>
      <c r="N60" s="10"/>
      <c r="O60" s="10"/>
      <c r="P60" s="13"/>
      <c r="Q60" s="10"/>
      <c r="R60" s="18" t="s">
        <v>67</v>
      </c>
      <c r="S60" s="31">
        <f>IF(R60=T56,U56)+IF(R60=T64,U64)</f>
        <v>2</v>
      </c>
      <c r="T60" s="33"/>
      <c r="U60" s="10"/>
      <c r="V60" s="34"/>
      <c r="W60" s="28"/>
      <c r="X60" s="32"/>
      <c r="Z60" s="15"/>
      <c r="AA60" s="51"/>
      <c r="AD60" s="7" t="str">
        <f>X59</f>
        <v>WRIGHT ST</v>
      </c>
    </row>
    <row r="61" spans="1:32" ht="12.75" customHeight="1" x14ac:dyDescent="0.2">
      <c r="A61" s="54">
        <v>46100</v>
      </c>
      <c r="B61" s="15"/>
      <c r="C61" s="16">
        <v>7</v>
      </c>
      <c r="D61" s="17" t="s">
        <v>62</v>
      </c>
      <c r="E61" s="10"/>
      <c r="F61" s="11"/>
      <c r="G61" s="10"/>
      <c r="H61" s="10"/>
      <c r="I61" s="24"/>
      <c r="J61" s="28"/>
      <c r="K61" s="10"/>
      <c r="L61" s="10"/>
      <c r="M61" s="10"/>
      <c r="N61" s="10"/>
      <c r="O61" s="10"/>
      <c r="P61" s="13"/>
      <c r="Q61" s="10"/>
      <c r="R61" s="34"/>
      <c r="S61" s="28"/>
      <c r="T61" s="33"/>
      <c r="U61" s="10"/>
      <c r="V61" s="13"/>
      <c r="W61" s="10"/>
      <c r="X61" s="18" t="s">
        <v>63</v>
      </c>
      <c r="Y61" s="16">
        <v>7</v>
      </c>
      <c r="Z61" s="15"/>
      <c r="AA61" s="57">
        <v>46101</v>
      </c>
      <c r="AD61" s="6" t="str">
        <f>D61</f>
        <v>ST MARYS</v>
      </c>
    </row>
    <row r="62" spans="1:32" x14ac:dyDescent="0.2">
      <c r="A62" s="55"/>
      <c r="B62" s="15"/>
      <c r="D62" s="19"/>
      <c r="E62" s="20">
        <f>IF(F62=D61,C61)+IF(F62=D63,C63)</f>
        <v>7</v>
      </c>
      <c r="F62" s="17" t="s">
        <v>62</v>
      </c>
      <c r="G62" s="10"/>
      <c r="H62" s="10"/>
      <c r="I62" s="24"/>
      <c r="J62" s="28"/>
      <c r="K62" s="10"/>
      <c r="L62" s="10"/>
      <c r="M62" s="10"/>
      <c r="N62" s="10"/>
      <c r="O62" s="10"/>
      <c r="P62" s="13"/>
      <c r="Q62" s="10"/>
      <c r="R62" s="34"/>
      <c r="S62" s="28"/>
      <c r="T62" s="33"/>
      <c r="U62" s="10"/>
      <c r="V62" s="29" t="s">
        <v>65</v>
      </c>
      <c r="W62" s="22">
        <f>IF(V62=X61,Y61)+IF(V62=X63,Y63)</f>
        <v>10</v>
      </c>
      <c r="X62" s="23"/>
      <c r="Z62" s="15"/>
      <c r="AA62" s="58"/>
      <c r="AD62" s="6" t="str">
        <f>D63</f>
        <v>TEXAS AM</v>
      </c>
      <c r="AE62" s="6" t="str">
        <f>F62</f>
        <v>ST MARYS</v>
      </c>
    </row>
    <row r="63" spans="1:32" x14ac:dyDescent="0.2">
      <c r="A63" s="55"/>
      <c r="B63" s="15"/>
      <c r="C63" s="16">
        <v>10</v>
      </c>
      <c r="D63" s="17" t="s">
        <v>64</v>
      </c>
      <c r="E63" s="24"/>
      <c r="F63" s="25"/>
      <c r="G63" s="26"/>
      <c r="H63" s="10"/>
      <c r="I63" s="26"/>
      <c r="J63" s="10"/>
      <c r="K63" s="10"/>
      <c r="L63" s="10"/>
      <c r="M63" s="10"/>
      <c r="N63" s="10"/>
      <c r="O63" s="10"/>
      <c r="P63" s="13"/>
      <c r="Q63" s="10"/>
      <c r="R63" s="13"/>
      <c r="S63" s="10"/>
      <c r="T63" s="33"/>
      <c r="U63" s="10"/>
      <c r="V63" s="27"/>
      <c r="W63" s="28"/>
      <c r="X63" s="29" t="s">
        <v>65</v>
      </c>
      <c r="Y63" s="16">
        <v>10</v>
      </c>
      <c r="Z63" s="15"/>
      <c r="AA63" s="58"/>
      <c r="AD63" s="7" t="str">
        <f>X61</f>
        <v>KENTUCKY</v>
      </c>
      <c r="AE63" s="6" t="str">
        <f>F66</f>
        <v>HOUSTON</v>
      </c>
    </row>
    <row r="64" spans="1:32" x14ac:dyDescent="0.2">
      <c r="A64" s="55"/>
      <c r="B64" s="15"/>
      <c r="D64" s="30"/>
      <c r="E64" s="28"/>
      <c r="F64" s="25"/>
      <c r="G64" s="20">
        <f>IF(H64=F62,E62)+IF(H64=F66,E66)</f>
        <v>2</v>
      </c>
      <c r="H64" s="17" t="s">
        <v>66</v>
      </c>
      <c r="I64" s="26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8" t="s">
        <v>67</v>
      </c>
      <c r="U64" s="31">
        <f>IF(T64=V62,W62)+IF(T64=V66,W66)</f>
        <v>2</v>
      </c>
      <c r="V64" s="27"/>
      <c r="W64" s="28"/>
      <c r="X64" s="32"/>
      <c r="Z64" s="15"/>
      <c r="AA64" s="58"/>
      <c r="AD64" s="7" t="str">
        <f>X63</f>
        <v>SANTA CLARA</v>
      </c>
      <c r="AE64" s="7" t="str">
        <f>V62</f>
        <v>SANTA CLARA</v>
      </c>
    </row>
    <row r="65" spans="1:31" x14ac:dyDescent="0.2">
      <c r="A65" s="55"/>
      <c r="B65" s="15"/>
      <c r="C65" s="16">
        <v>2</v>
      </c>
      <c r="D65" s="17" t="s">
        <v>66</v>
      </c>
      <c r="E65" s="10"/>
      <c r="F65" s="11"/>
      <c r="G65" s="24"/>
      <c r="H65" s="28"/>
      <c r="M65" s="10"/>
      <c r="N65" s="10"/>
      <c r="O65" s="10"/>
      <c r="T65" s="34"/>
      <c r="U65" s="28"/>
      <c r="V65" s="33"/>
      <c r="W65" s="10"/>
      <c r="X65" s="18" t="s">
        <v>67</v>
      </c>
      <c r="Y65" s="16">
        <v>2</v>
      </c>
      <c r="Z65" s="15"/>
      <c r="AA65" s="58"/>
      <c r="AD65" s="6" t="str">
        <f>D65</f>
        <v>HOUSTON</v>
      </c>
      <c r="AE65" s="7" t="str">
        <f>V66</f>
        <v>IOWA ST</v>
      </c>
    </row>
    <row r="66" spans="1:31" x14ac:dyDescent="0.2">
      <c r="A66" s="55"/>
      <c r="B66" s="15"/>
      <c r="D66" s="19"/>
      <c r="E66" s="20">
        <f>IF(F66=D65,C65)+IF(F66=D67,C67)</f>
        <v>2</v>
      </c>
      <c r="F66" s="17" t="s">
        <v>66</v>
      </c>
      <c r="G66" s="24"/>
      <c r="H66" s="28"/>
      <c r="M66" s="10"/>
      <c r="N66" s="10"/>
      <c r="O66" s="10"/>
      <c r="T66" s="34"/>
      <c r="U66" s="28"/>
      <c r="V66" s="18" t="s">
        <v>67</v>
      </c>
      <c r="W66" s="22">
        <f>IF(V66=X65,Y65)+IF(V66=X67,Y67)</f>
        <v>2</v>
      </c>
      <c r="X66" s="23"/>
      <c r="Z66" s="15"/>
      <c r="AA66" s="58"/>
      <c r="AD66" s="6" t="str">
        <f>D67</f>
        <v>IDAHO</v>
      </c>
    </row>
    <row r="67" spans="1:31" x14ac:dyDescent="0.2">
      <c r="A67" s="56"/>
      <c r="B67" s="15"/>
      <c r="C67" s="16">
        <v>15</v>
      </c>
      <c r="D67" s="17" t="s">
        <v>68</v>
      </c>
      <c r="E67" s="24"/>
      <c r="F67" s="25"/>
      <c r="G67" s="10"/>
      <c r="H67" s="10"/>
      <c r="M67" s="10"/>
      <c r="N67" s="10"/>
      <c r="O67" s="10"/>
      <c r="T67" s="13"/>
      <c r="U67" s="10"/>
      <c r="V67" s="34"/>
      <c r="W67" s="28"/>
      <c r="X67" s="29" t="s">
        <v>69</v>
      </c>
      <c r="Y67" s="16">
        <v>15</v>
      </c>
      <c r="Z67" s="15"/>
      <c r="AA67" s="59"/>
      <c r="AD67" s="7" t="str">
        <f>X65</f>
        <v>IOWA ST</v>
      </c>
    </row>
    <row r="68" spans="1:31" x14ac:dyDescent="0.2">
      <c r="A68" s="6"/>
      <c r="D68" s="8"/>
      <c r="E68" s="10"/>
      <c r="F68" s="11"/>
      <c r="G68" s="10"/>
      <c r="H68" s="10"/>
      <c r="I68" s="10"/>
      <c r="J68" s="10"/>
      <c r="K68" s="10"/>
      <c r="L68" s="10"/>
      <c r="M68" s="10"/>
      <c r="N68" s="10"/>
      <c r="O68" s="10"/>
      <c r="P68" s="13"/>
      <c r="Q68" s="10"/>
      <c r="R68" s="13"/>
      <c r="S68" s="10"/>
      <c r="T68" s="13"/>
      <c r="U68" s="10"/>
      <c r="V68" s="13"/>
      <c r="W68" s="10"/>
      <c r="X68" s="8"/>
      <c r="AD68" s="7" t="str">
        <f>X67</f>
        <v>TENNESSEE ST</v>
      </c>
    </row>
    <row r="69" spans="1:31" x14ac:dyDescent="0.2">
      <c r="F69" s="11"/>
      <c r="H69" s="10"/>
      <c r="J69" s="10"/>
      <c r="R69" s="13"/>
      <c r="T69" s="13"/>
      <c r="V69" s="13"/>
    </row>
    <row r="70" spans="1:31" x14ac:dyDescent="0.2">
      <c r="F70" s="11"/>
      <c r="H70" s="10"/>
      <c r="J70" s="10"/>
      <c r="R70" s="13"/>
      <c r="T70" s="13"/>
      <c r="V70" s="13"/>
    </row>
    <row r="71" spans="1:31" x14ac:dyDescent="0.2">
      <c r="F71" s="11"/>
      <c r="H71" s="10"/>
      <c r="J71" s="10"/>
      <c r="R71" s="13"/>
      <c r="T71" s="13"/>
      <c r="V71" s="13"/>
    </row>
    <row r="72" spans="1:31" x14ac:dyDescent="0.2">
      <c r="F72" s="11"/>
      <c r="H72" s="10"/>
      <c r="J72" s="10"/>
      <c r="R72" s="13"/>
      <c r="T72" s="13"/>
      <c r="V72" s="13"/>
    </row>
    <row r="73" spans="1:31" x14ac:dyDescent="0.2">
      <c r="F73" s="11"/>
      <c r="H73" s="10"/>
      <c r="J73" s="10"/>
      <c r="R73" s="13"/>
      <c r="T73" s="13"/>
      <c r="V73" s="13"/>
    </row>
    <row r="74" spans="1:31" x14ac:dyDescent="0.2">
      <c r="F74" s="11"/>
      <c r="H74" s="10"/>
      <c r="J74" s="10"/>
      <c r="R74" s="13"/>
      <c r="T74" s="13"/>
      <c r="V74" s="13"/>
    </row>
    <row r="75" spans="1:31" x14ac:dyDescent="0.2">
      <c r="F75" s="11"/>
      <c r="H75" s="10"/>
      <c r="J75" s="10"/>
      <c r="R75" s="13"/>
      <c r="T75" s="13"/>
      <c r="V75" s="13"/>
    </row>
    <row r="76" spans="1:31" x14ac:dyDescent="0.2">
      <c r="F76" s="11"/>
      <c r="H76" s="10"/>
      <c r="J76" s="10"/>
      <c r="R76" s="13"/>
      <c r="T76" s="13"/>
      <c r="V76" s="13"/>
    </row>
    <row r="77" spans="1:31" x14ac:dyDescent="0.2">
      <c r="F77" s="11"/>
      <c r="H77" s="10"/>
      <c r="J77" s="10"/>
      <c r="R77" s="13"/>
      <c r="T77" s="13"/>
      <c r="V77" s="13"/>
    </row>
    <row r="78" spans="1:31" x14ac:dyDescent="0.2">
      <c r="F78" s="11"/>
      <c r="H78" s="10"/>
      <c r="J78" s="10"/>
      <c r="R78" s="13"/>
      <c r="T78" s="13"/>
      <c r="V78" s="13"/>
    </row>
    <row r="79" spans="1:31" x14ac:dyDescent="0.2">
      <c r="F79" s="11"/>
      <c r="H79" s="10"/>
      <c r="J79" s="10"/>
      <c r="R79" s="13"/>
      <c r="T79" s="13"/>
      <c r="V79" s="13"/>
    </row>
    <row r="80" spans="1:31" x14ac:dyDescent="0.2">
      <c r="F80" s="11"/>
      <c r="H80" s="10"/>
      <c r="J80" s="10"/>
      <c r="R80" s="13"/>
      <c r="T80" s="13"/>
      <c r="V80" s="13"/>
    </row>
    <row r="81" spans="6:22" x14ac:dyDescent="0.2">
      <c r="F81" s="11"/>
      <c r="H81" s="10"/>
      <c r="J81" s="10"/>
      <c r="R81" s="13"/>
      <c r="T81" s="13"/>
      <c r="V81" s="13"/>
    </row>
    <row r="82" spans="6:22" x14ac:dyDescent="0.2">
      <c r="F82" s="11"/>
      <c r="H82" s="10"/>
      <c r="J82" s="10"/>
      <c r="R82" s="13"/>
      <c r="T82" s="13"/>
      <c r="V82" s="13"/>
    </row>
    <row r="83" spans="6:22" x14ac:dyDescent="0.2">
      <c r="F83" s="11"/>
      <c r="H83" s="10"/>
      <c r="J83" s="10"/>
      <c r="R83" s="13"/>
      <c r="T83" s="13"/>
      <c r="V83" s="13"/>
    </row>
    <row r="84" spans="6:22" x14ac:dyDescent="0.2">
      <c r="F84" s="11"/>
      <c r="H84" s="10"/>
      <c r="J84" s="10"/>
      <c r="R84" s="13"/>
      <c r="T84" s="13"/>
      <c r="V84" s="13"/>
    </row>
    <row r="85" spans="6:22" x14ac:dyDescent="0.2">
      <c r="F85" s="11"/>
      <c r="H85" s="10"/>
      <c r="J85" s="10"/>
      <c r="R85" s="13"/>
      <c r="T85" s="13"/>
      <c r="V85" s="13"/>
    </row>
    <row r="86" spans="6:22" x14ac:dyDescent="0.2">
      <c r="F86" s="11"/>
      <c r="H86" s="10"/>
      <c r="J86" s="10"/>
      <c r="R86" s="13"/>
      <c r="T86" s="13"/>
      <c r="V86" s="13"/>
    </row>
    <row r="87" spans="6:22" x14ac:dyDescent="0.2">
      <c r="F87" s="11"/>
      <c r="H87" s="10"/>
      <c r="J87" s="10"/>
      <c r="R87" s="13"/>
      <c r="T87" s="13"/>
      <c r="V87" s="13"/>
    </row>
    <row r="88" spans="6:22" x14ac:dyDescent="0.2">
      <c r="F88" s="11"/>
      <c r="H88" s="10"/>
      <c r="J88" s="10"/>
      <c r="R88" s="13"/>
      <c r="T88" s="13"/>
      <c r="V88" s="13"/>
    </row>
    <row r="89" spans="6:22" x14ac:dyDescent="0.2">
      <c r="F89" s="11"/>
      <c r="H89" s="10"/>
      <c r="J89" s="10"/>
      <c r="R89" s="13"/>
      <c r="T89" s="13"/>
      <c r="V89" s="13"/>
    </row>
    <row r="90" spans="6:22" x14ac:dyDescent="0.2">
      <c r="F90" s="11"/>
      <c r="H90" s="10"/>
      <c r="J90" s="10"/>
      <c r="R90" s="13"/>
      <c r="T90" s="13"/>
      <c r="V90" s="13"/>
    </row>
    <row r="91" spans="6:22" x14ac:dyDescent="0.2">
      <c r="F91" s="11"/>
      <c r="H91" s="10"/>
      <c r="J91" s="10"/>
      <c r="R91" s="10"/>
      <c r="T91" s="10"/>
      <c r="V91" s="13"/>
    </row>
    <row r="92" spans="6:22" x14ac:dyDescent="0.2">
      <c r="F92" s="11"/>
      <c r="H92" s="10"/>
      <c r="J92" s="10"/>
      <c r="R92" s="10"/>
      <c r="T92" s="10"/>
      <c r="V92" s="13"/>
    </row>
    <row r="93" spans="6:22" x14ac:dyDescent="0.2">
      <c r="F93" s="11"/>
      <c r="H93" s="10"/>
      <c r="J93" s="10"/>
      <c r="R93" s="10"/>
      <c r="T93" s="10"/>
      <c r="V93" s="13"/>
    </row>
    <row r="94" spans="6:22" x14ac:dyDescent="0.2">
      <c r="F94" s="11"/>
      <c r="H94" s="10"/>
      <c r="J94" s="10"/>
      <c r="R94" s="10"/>
      <c r="T94" s="10"/>
      <c r="V94" s="13"/>
    </row>
    <row r="95" spans="6:22" x14ac:dyDescent="0.2">
      <c r="F95" s="11"/>
      <c r="H95" s="10"/>
      <c r="J95" s="10"/>
      <c r="R95" s="10"/>
      <c r="T95" s="10"/>
      <c r="V95" s="13"/>
    </row>
    <row r="96" spans="6:22" x14ac:dyDescent="0.2">
      <c r="F96" s="11"/>
      <c r="H96" s="10"/>
      <c r="J96" s="10"/>
      <c r="R96" s="10"/>
      <c r="T96" s="10"/>
      <c r="V96" s="13"/>
    </row>
    <row r="97" spans="6:22" x14ac:dyDescent="0.2">
      <c r="F97" s="11"/>
      <c r="H97" s="10"/>
      <c r="J97" s="10"/>
      <c r="R97" s="10"/>
      <c r="T97" s="10"/>
      <c r="V97" s="13"/>
    </row>
    <row r="98" spans="6:22" x14ac:dyDescent="0.2">
      <c r="F98" s="11"/>
      <c r="H98" s="10"/>
      <c r="J98" s="10"/>
      <c r="R98" s="10"/>
      <c r="T98" s="10"/>
      <c r="V98" s="13"/>
    </row>
    <row r="99" spans="6:22" x14ac:dyDescent="0.2">
      <c r="F99" s="11"/>
      <c r="H99" s="10"/>
      <c r="J99" s="10"/>
      <c r="R99" s="10"/>
      <c r="T99" s="10"/>
      <c r="V99" s="13"/>
    </row>
    <row r="100" spans="6:22" x14ac:dyDescent="0.2">
      <c r="F100" s="11"/>
      <c r="H100" s="10"/>
      <c r="J100" s="10"/>
      <c r="R100" s="10"/>
      <c r="T100" s="10"/>
      <c r="V100" s="13"/>
    </row>
    <row r="101" spans="6:22" x14ac:dyDescent="0.2">
      <c r="F101" s="11"/>
      <c r="H101" s="10"/>
      <c r="J101" s="10"/>
      <c r="R101" s="10"/>
      <c r="T101" s="10"/>
      <c r="V101" s="13"/>
    </row>
    <row r="102" spans="6:22" x14ac:dyDescent="0.2">
      <c r="F102" s="11"/>
      <c r="H102" s="10"/>
      <c r="J102" s="10"/>
      <c r="R102" s="10"/>
      <c r="T102" s="10"/>
      <c r="V102" s="13"/>
    </row>
    <row r="103" spans="6:22" x14ac:dyDescent="0.2">
      <c r="F103" s="11"/>
      <c r="H103" s="10"/>
      <c r="J103" s="10"/>
      <c r="R103" s="10"/>
      <c r="T103" s="10"/>
      <c r="V103" s="13"/>
    </row>
    <row r="104" spans="6:22" x14ac:dyDescent="0.2">
      <c r="F104" s="11"/>
      <c r="H104" s="10"/>
      <c r="J104" s="10"/>
      <c r="R104" s="10"/>
      <c r="T104" s="10"/>
      <c r="V104" s="13"/>
    </row>
    <row r="105" spans="6:22" x14ac:dyDescent="0.2">
      <c r="F105" s="11"/>
      <c r="H105" s="10"/>
      <c r="J105" s="10"/>
      <c r="R105" s="10"/>
      <c r="T105" s="10"/>
      <c r="V105" s="13"/>
    </row>
    <row r="106" spans="6:22" x14ac:dyDescent="0.2">
      <c r="F106" s="11"/>
      <c r="H106" s="10"/>
      <c r="J106" s="10"/>
      <c r="R106" s="10"/>
      <c r="T106" s="10"/>
      <c r="V106" s="13"/>
    </row>
    <row r="107" spans="6:22" x14ac:dyDescent="0.2">
      <c r="F107" s="11"/>
      <c r="H107" s="10"/>
      <c r="J107" s="10"/>
      <c r="R107" s="10"/>
      <c r="T107" s="10"/>
      <c r="V107" s="13"/>
    </row>
    <row r="108" spans="6:22" x14ac:dyDescent="0.2">
      <c r="F108" s="11"/>
      <c r="H108" s="10"/>
      <c r="J108" s="10"/>
      <c r="R108" s="10"/>
      <c r="T108" s="10"/>
      <c r="V108" s="13"/>
    </row>
    <row r="109" spans="6:22" x14ac:dyDescent="0.2">
      <c r="F109" s="11"/>
      <c r="H109" s="10"/>
      <c r="J109" s="10"/>
      <c r="R109" s="10"/>
      <c r="T109" s="10"/>
      <c r="V109" s="13"/>
    </row>
    <row r="110" spans="6:22" x14ac:dyDescent="0.2">
      <c r="F110" s="11"/>
      <c r="H110" s="10"/>
      <c r="J110" s="10"/>
      <c r="R110" s="10"/>
      <c r="T110" s="10"/>
      <c r="V110" s="13"/>
    </row>
  </sheetData>
  <dataConsolidate/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dataValidations count="1">
    <dataValidation type="list" allowBlank="1" showInputMessage="1" showErrorMessage="1" sqref="F4 H6 J10 L17 N32" xr:uid="{86FE8F7F-2002-41A0-A8E4-D8003F15689A}">
      <formula1>$AD$3:$AD$4</formula1>
    </dataValidation>
  </dataValidations>
  <pageMargins left="0" right="0" top="0" bottom="0" header="0.5" footer="0.5"/>
  <pageSetup scale="6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39E8-CBE5-4C6B-923F-248A8E86760B}">
  <sheetPr codeName="Sheet3">
    <tabColor theme="7" tint="0.79998168889431442"/>
  </sheetPr>
  <dimension ref="A1:AM110"/>
  <sheetViews>
    <sheetView tabSelected="1" zoomScale="80" zoomScaleNormal="80" workbookViewId="0">
      <selection activeCell="N8" sqref="N8"/>
    </sheetView>
  </sheetViews>
  <sheetFormatPr defaultColWidth="8.85546875" defaultRowHeight="12.75" x14ac:dyDescent="0.2"/>
  <cols>
    <col min="1" max="1" width="6.7109375" style="1" customWidth="1"/>
    <col min="2" max="2" width="0.85546875" style="1" customWidth="1"/>
    <col min="3" max="3" width="3" style="8" bestFit="1" customWidth="1"/>
    <col min="4" max="4" width="15" style="9" customWidth="1"/>
    <col min="5" max="5" width="4.42578125" style="6" bestFit="1" customWidth="1"/>
    <col min="6" max="6" width="14.28515625" style="52" customWidth="1"/>
    <col min="7" max="7" width="3" style="6" bestFit="1" customWidth="1"/>
    <col min="8" max="8" width="14.28515625" style="6" customWidth="1"/>
    <col min="9" max="9" width="3.42578125" style="6" bestFit="1" customWidth="1"/>
    <col min="10" max="10" width="14.28515625" style="6" customWidth="1"/>
    <col min="11" max="11" width="3.42578125" style="6" bestFit="1" customWidth="1"/>
    <col min="12" max="12" width="14.28515625" style="6" customWidth="1"/>
    <col min="13" max="13" width="3.42578125" style="6" bestFit="1" customWidth="1"/>
    <col min="14" max="14" width="14.28515625" style="6" customWidth="1"/>
    <col min="15" max="15" width="3.42578125" style="6" bestFit="1" customWidth="1"/>
    <col min="16" max="16" width="14.28515625" style="6" customWidth="1"/>
    <col min="17" max="17" width="3.42578125" style="6" bestFit="1" customWidth="1"/>
    <col min="18" max="18" width="14.28515625" style="6" customWidth="1"/>
    <col min="19" max="19" width="3.42578125" style="6" bestFit="1" customWidth="1"/>
    <col min="20" max="20" width="14.28515625" style="6" customWidth="1"/>
    <col min="21" max="21" width="3.42578125" style="6" bestFit="1" customWidth="1"/>
    <col min="22" max="22" width="14.28515625" style="7" customWidth="1"/>
    <col min="23" max="23" width="3" style="6" bestFit="1" customWidth="1"/>
    <col min="24" max="24" width="18.5703125" style="14" bestFit="1" customWidth="1"/>
    <col min="25" max="25" width="3" style="8" bestFit="1" customWidth="1"/>
    <col min="26" max="26" width="0.85546875" style="1" customWidth="1"/>
    <col min="27" max="27" width="6.7109375" style="1" customWidth="1"/>
    <col min="28" max="28" width="8.42578125" style="6" bestFit="1" customWidth="1"/>
    <col min="29" max="29" width="8.85546875" style="6"/>
    <col min="30" max="30" width="18.7109375" style="6" hidden="1" customWidth="1"/>
    <col min="31" max="31" width="14.5703125" style="6" hidden="1" customWidth="1"/>
    <col min="32" max="33" width="16.5703125" style="6" hidden="1" customWidth="1"/>
    <col min="34" max="34" width="13.5703125" style="6" hidden="1" customWidth="1"/>
    <col min="35" max="35" width="14.140625" style="6" hidden="1" customWidth="1"/>
    <col min="36" max="36" width="10.28515625" style="6" customWidth="1"/>
    <col min="37" max="37" width="9.28515625" style="6" customWidth="1"/>
    <col min="38" max="39" width="9.28515625" style="7" customWidth="1"/>
    <col min="40" max="16384" width="8.85546875" style="6"/>
  </cols>
  <sheetData>
    <row r="1" spans="1:37" x14ac:dyDescent="0.2">
      <c r="C1" s="2"/>
      <c r="D1" s="2"/>
      <c r="E1" s="3"/>
      <c r="F1" s="4"/>
      <c r="G1" s="3"/>
      <c r="H1" s="3"/>
      <c r="I1" s="3"/>
      <c r="J1" s="3"/>
      <c r="K1" s="3"/>
      <c r="L1" s="53" t="s">
        <v>71</v>
      </c>
      <c r="M1" s="53"/>
      <c r="N1" s="53"/>
      <c r="O1" s="53"/>
      <c r="P1" s="53"/>
      <c r="Q1" s="3"/>
      <c r="R1" s="3"/>
      <c r="S1" s="3"/>
      <c r="T1" s="3"/>
      <c r="U1" s="3"/>
      <c r="V1" s="5"/>
      <c r="W1" s="3"/>
      <c r="X1" s="2"/>
      <c r="Y1" s="2"/>
    </row>
    <row r="2" spans="1:37" x14ac:dyDescent="0.2">
      <c r="A2" s="1" t="s">
        <v>0</v>
      </c>
      <c r="E2" s="10"/>
      <c r="F2" s="11"/>
      <c r="G2" s="10"/>
      <c r="H2" s="10"/>
      <c r="I2" s="10"/>
      <c r="J2" s="10"/>
      <c r="K2" s="10"/>
      <c r="N2" s="12">
        <f>COUNTIF(E4:W66,"&gt;0")</f>
        <v>63</v>
      </c>
      <c r="Q2" s="10"/>
      <c r="R2" s="13"/>
      <c r="S2" s="10"/>
      <c r="T2" s="13"/>
      <c r="U2" s="10"/>
      <c r="V2" s="13"/>
      <c r="W2" s="10"/>
      <c r="AA2" s="1" t="s">
        <v>0</v>
      </c>
    </row>
    <row r="3" spans="1:37" ht="12.75" customHeight="1" x14ac:dyDescent="0.2">
      <c r="A3" s="54">
        <v>46100</v>
      </c>
      <c r="B3" s="15"/>
      <c r="C3" s="16">
        <v>1</v>
      </c>
      <c r="D3" s="17" t="s">
        <v>1</v>
      </c>
      <c r="E3" s="10"/>
      <c r="F3" s="11"/>
      <c r="G3" s="10"/>
      <c r="H3" s="10"/>
      <c r="M3" s="10"/>
      <c r="O3" s="10"/>
      <c r="T3" s="13"/>
      <c r="U3" s="10"/>
      <c r="V3" s="13"/>
      <c r="W3" s="10"/>
      <c r="X3" s="18" t="s">
        <v>2</v>
      </c>
      <c r="Y3" s="16">
        <v>1</v>
      </c>
      <c r="Z3" s="15"/>
      <c r="AA3" s="57">
        <v>46101</v>
      </c>
      <c r="AD3" s="6" t="str">
        <f>D3</f>
        <v>DUKE</v>
      </c>
    </row>
    <row r="4" spans="1:37" x14ac:dyDescent="0.2">
      <c r="A4" s="55"/>
      <c r="B4" s="15"/>
      <c r="D4" s="19"/>
      <c r="E4" s="20">
        <f>IF(F4=D3,C3)+IF(F4=D5,C5)</f>
        <v>1</v>
      </c>
      <c r="F4" s="17" t="s">
        <v>1</v>
      </c>
      <c r="G4" s="10"/>
      <c r="H4" s="10"/>
      <c r="M4" s="10"/>
      <c r="N4" s="10"/>
      <c r="O4" s="10"/>
      <c r="T4" s="13"/>
      <c r="U4" s="10"/>
      <c r="V4" s="18" t="s">
        <v>2</v>
      </c>
      <c r="W4" s="22">
        <f>IF(V4=X3,Y3)+IF(V4=X5,Y5)</f>
        <v>1</v>
      </c>
      <c r="X4" s="23"/>
      <c r="Z4" s="15"/>
      <c r="AA4" s="58"/>
      <c r="AD4" s="6" t="str">
        <f>D5</f>
        <v>SIENA</v>
      </c>
      <c r="AE4" s="6" t="str">
        <f>F4</f>
        <v>DUKE</v>
      </c>
    </row>
    <row r="5" spans="1:37" x14ac:dyDescent="0.2">
      <c r="A5" s="55"/>
      <c r="B5" s="15"/>
      <c r="C5" s="16">
        <v>16</v>
      </c>
      <c r="D5" s="17" t="s">
        <v>3</v>
      </c>
      <c r="E5" s="24"/>
      <c r="F5" s="25"/>
      <c r="G5" s="26"/>
      <c r="H5" s="10"/>
      <c r="M5" s="10"/>
      <c r="N5" s="10"/>
      <c r="O5" s="10"/>
      <c r="T5" s="13"/>
      <c r="U5" s="10"/>
      <c r="V5" s="27"/>
      <c r="W5" s="28"/>
      <c r="X5" s="29" t="s">
        <v>4</v>
      </c>
      <c r="Y5" s="16">
        <v>16</v>
      </c>
      <c r="Z5" s="15"/>
      <c r="AA5" s="58"/>
      <c r="AD5" s="7" t="str">
        <f>X3</f>
        <v>ARIZONA</v>
      </c>
      <c r="AE5" s="6" t="str">
        <f>F8</f>
        <v>OHIO ST</v>
      </c>
    </row>
    <row r="6" spans="1:37" x14ac:dyDescent="0.2">
      <c r="A6" s="55"/>
      <c r="B6" s="15"/>
      <c r="D6" s="30"/>
      <c r="E6" s="28"/>
      <c r="F6" s="25"/>
      <c r="G6" s="20">
        <f>IF(H6=F4,E4)+IF(H6=F8,E8)</f>
        <v>1</v>
      </c>
      <c r="H6" s="17" t="s">
        <v>1</v>
      </c>
      <c r="I6" s="10"/>
      <c r="J6" s="10"/>
      <c r="K6" s="10"/>
      <c r="L6" s="10"/>
      <c r="M6" s="10"/>
      <c r="N6" s="10"/>
      <c r="O6" s="10"/>
      <c r="P6" s="13"/>
      <c r="Q6" s="10"/>
      <c r="R6" s="13"/>
      <c r="S6" s="10"/>
      <c r="T6" s="18" t="s">
        <v>2</v>
      </c>
      <c r="U6" s="31">
        <f>IF(T6=V4,W4)+IF(T6=V8,W8)</f>
        <v>1</v>
      </c>
      <c r="V6" s="27"/>
      <c r="W6" s="28"/>
      <c r="X6" s="32"/>
      <c r="Z6" s="15"/>
      <c r="AA6" s="58"/>
      <c r="AD6" s="7" t="str">
        <f>X5</f>
        <v>LONG ISLAND</v>
      </c>
      <c r="AE6" s="7" t="str">
        <f>V4</f>
        <v>ARIZONA</v>
      </c>
      <c r="AF6" s="6" t="str">
        <f>H6</f>
        <v>DUKE</v>
      </c>
    </row>
    <row r="7" spans="1:37" x14ac:dyDescent="0.2">
      <c r="A7" s="55"/>
      <c r="B7" s="15"/>
      <c r="C7" s="16">
        <v>8</v>
      </c>
      <c r="D7" s="17" t="s">
        <v>5</v>
      </c>
      <c r="E7" s="10"/>
      <c r="F7" s="11"/>
      <c r="G7" s="24"/>
      <c r="H7" s="28"/>
      <c r="I7" s="26"/>
      <c r="J7" s="10"/>
      <c r="K7" s="10"/>
      <c r="L7" s="10"/>
      <c r="M7" s="10"/>
      <c r="N7" s="10"/>
      <c r="O7" s="10"/>
      <c r="P7" s="10"/>
      <c r="Q7" s="10"/>
      <c r="R7" s="10"/>
      <c r="S7" s="10"/>
      <c r="T7" s="27"/>
      <c r="U7" s="28"/>
      <c r="V7" s="33"/>
      <c r="W7" s="10"/>
      <c r="X7" s="18" t="s">
        <v>6</v>
      </c>
      <c r="Y7" s="16">
        <v>8</v>
      </c>
      <c r="Z7" s="15"/>
      <c r="AA7" s="58"/>
      <c r="AD7" s="6" t="str">
        <f>D7</f>
        <v>OHIO ST</v>
      </c>
      <c r="AE7" s="7" t="str">
        <f>V8</f>
        <v>UTAH ST</v>
      </c>
      <c r="AF7" s="6" t="str">
        <f>H14</f>
        <v>ST JOHNS</v>
      </c>
    </row>
    <row r="8" spans="1:37" x14ac:dyDescent="0.2">
      <c r="A8" s="55"/>
      <c r="B8" s="15"/>
      <c r="D8" s="19"/>
      <c r="E8" s="20">
        <f>IF(F8=D7,C7)+IF(F8=D9,C9)</f>
        <v>8</v>
      </c>
      <c r="F8" s="17" t="s">
        <v>5</v>
      </c>
      <c r="G8" s="24"/>
      <c r="H8" s="28"/>
      <c r="I8" s="26"/>
      <c r="J8" s="10"/>
      <c r="K8" s="10"/>
      <c r="L8" s="10"/>
      <c r="M8" s="10"/>
      <c r="N8" s="10"/>
      <c r="O8" s="10"/>
      <c r="P8" s="13"/>
      <c r="Q8" s="10"/>
      <c r="R8" s="13"/>
      <c r="S8" s="10"/>
      <c r="T8" s="27"/>
      <c r="U8" s="28"/>
      <c r="V8" s="29" t="s">
        <v>8</v>
      </c>
      <c r="W8" s="22">
        <f>IF(V8=X7,Y7)+IF(V8=X9,Y9)</f>
        <v>9</v>
      </c>
      <c r="X8" s="23"/>
      <c r="Z8" s="15"/>
      <c r="AA8" s="58"/>
      <c r="AD8" s="6" t="str">
        <f>D9</f>
        <v>TCU</v>
      </c>
      <c r="AF8" s="7" t="str">
        <f>T6</f>
        <v>ARIZONA</v>
      </c>
    </row>
    <row r="9" spans="1:37" x14ac:dyDescent="0.2">
      <c r="A9" s="56"/>
      <c r="B9" s="15"/>
      <c r="C9" s="16">
        <v>9</v>
      </c>
      <c r="D9" s="17" t="s">
        <v>7</v>
      </c>
      <c r="E9" s="24"/>
      <c r="F9" s="25"/>
      <c r="G9" s="10"/>
      <c r="H9" s="10"/>
      <c r="I9" s="26"/>
      <c r="J9" s="10"/>
      <c r="K9" s="10"/>
      <c r="L9" s="10"/>
      <c r="M9" s="10"/>
      <c r="N9" s="10"/>
      <c r="O9" s="10"/>
      <c r="P9" s="13"/>
      <c r="Q9" s="10"/>
      <c r="R9" s="13"/>
      <c r="S9" s="10"/>
      <c r="T9" s="33"/>
      <c r="U9" s="10"/>
      <c r="V9" s="34"/>
      <c r="W9" s="28"/>
      <c r="X9" s="29" t="s">
        <v>8</v>
      </c>
      <c r="Y9" s="16">
        <v>9</v>
      </c>
      <c r="Z9" s="15"/>
      <c r="AA9" s="59"/>
      <c r="AD9" s="7" t="str">
        <f>X7</f>
        <v>VILLANOVA</v>
      </c>
      <c r="AF9" s="7" t="str">
        <f>T14</f>
        <v>ARKANSAS</v>
      </c>
    </row>
    <row r="10" spans="1:37" x14ac:dyDescent="0.2">
      <c r="A10" s="35"/>
      <c r="B10" s="15"/>
      <c r="D10" s="30"/>
      <c r="E10" s="28"/>
      <c r="F10" s="25"/>
      <c r="G10" s="10"/>
      <c r="H10" s="10"/>
      <c r="I10" s="20">
        <f>IF(J10=H6,G6)+IF(J10=H14,G14)</f>
        <v>1</v>
      </c>
      <c r="J10" s="17" t="s">
        <v>1</v>
      </c>
      <c r="K10" s="10"/>
      <c r="L10" s="10"/>
      <c r="M10" s="10"/>
      <c r="N10" s="10"/>
      <c r="O10" s="10"/>
      <c r="P10" s="13"/>
      <c r="Q10" s="10"/>
      <c r="R10" s="18" t="s">
        <v>2</v>
      </c>
      <c r="S10" s="31">
        <f>IF(R10=T6,U6)+IF(R10=T14,U14)</f>
        <v>1</v>
      </c>
      <c r="T10" s="33"/>
      <c r="U10" s="10"/>
      <c r="V10" s="34"/>
      <c r="W10" s="28"/>
      <c r="X10" s="32"/>
      <c r="Z10" s="15"/>
      <c r="AA10" s="36"/>
      <c r="AD10" s="7" t="str">
        <f>X9</f>
        <v>UTAH ST</v>
      </c>
      <c r="AG10" s="6" t="str">
        <f>J10</f>
        <v>DUKE</v>
      </c>
      <c r="AI10" s="7"/>
      <c r="AK10" s="7"/>
    </row>
    <row r="11" spans="1:37" ht="12.75" customHeight="1" x14ac:dyDescent="0.2">
      <c r="A11" s="60">
        <v>46101</v>
      </c>
      <c r="B11" s="15"/>
      <c r="C11" s="16">
        <v>5</v>
      </c>
      <c r="D11" s="17" t="s">
        <v>9</v>
      </c>
      <c r="E11" s="10"/>
      <c r="F11" s="11"/>
      <c r="G11" s="10"/>
      <c r="H11" s="10"/>
      <c r="I11" s="24"/>
      <c r="J11" s="28"/>
      <c r="K11" s="26"/>
      <c r="L11" s="10"/>
      <c r="M11" s="10"/>
      <c r="N11" s="10"/>
      <c r="O11" s="10"/>
      <c r="P11" s="13"/>
      <c r="Q11" s="10"/>
      <c r="R11" s="27"/>
      <c r="S11" s="28"/>
      <c r="T11" s="33"/>
      <c r="U11" s="10"/>
      <c r="V11" s="13"/>
      <c r="W11" s="10"/>
      <c r="X11" s="18" t="s">
        <v>10</v>
      </c>
      <c r="Y11" s="16">
        <v>5</v>
      </c>
      <c r="Z11" s="15"/>
      <c r="AA11" s="63">
        <v>46100</v>
      </c>
      <c r="AD11" s="6" t="str">
        <f>D11</f>
        <v>ST JOHNS</v>
      </c>
      <c r="AG11" s="6" t="str">
        <f>J26</f>
        <v>LOUISVILLE</v>
      </c>
      <c r="AI11" s="7"/>
      <c r="AK11" s="7"/>
    </row>
    <row r="12" spans="1:37" x14ac:dyDescent="0.2">
      <c r="A12" s="61"/>
      <c r="B12" s="15"/>
      <c r="D12" s="19"/>
      <c r="E12" s="20">
        <f>IF(F12=D11,C11)+IF(F12=D13,C13)</f>
        <v>5</v>
      </c>
      <c r="F12" s="17" t="s">
        <v>9</v>
      </c>
      <c r="G12" s="10"/>
      <c r="H12" s="10"/>
      <c r="I12" s="24"/>
      <c r="J12" s="28"/>
      <c r="K12" s="26"/>
      <c r="L12" s="10"/>
      <c r="M12" s="10"/>
      <c r="N12" s="10"/>
      <c r="O12" s="10"/>
      <c r="P12" s="13"/>
      <c r="Q12" s="10"/>
      <c r="R12" s="27"/>
      <c r="S12" s="28"/>
      <c r="T12" s="33"/>
      <c r="U12" s="10"/>
      <c r="V12" s="18" t="s">
        <v>10</v>
      </c>
      <c r="W12" s="22">
        <f>IF(V12=X11,Y11)+IF(V12=X13,Y13)</f>
        <v>5</v>
      </c>
      <c r="X12" s="23"/>
      <c r="Z12" s="15"/>
      <c r="AA12" s="64"/>
      <c r="AD12" s="6" t="str">
        <f>D13</f>
        <v>N IOWA</v>
      </c>
      <c r="AE12" s="6" t="str">
        <f>F12</f>
        <v>ST JOHNS</v>
      </c>
      <c r="AG12" s="7" t="str">
        <f>R10</f>
        <v>ARIZONA</v>
      </c>
      <c r="AI12" s="7"/>
      <c r="AJ12" s="7"/>
      <c r="AK12" s="7"/>
    </row>
    <row r="13" spans="1:37" x14ac:dyDescent="0.2">
      <c r="A13" s="61"/>
      <c r="B13" s="15"/>
      <c r="C13" s="16">
        <v>12</v>
      </c>
      <c r="D13" s="17" t="s">
        <v>11</v>
      </c>
      <c r="E13" s="24"/>
      <c r="F13" s="25"/>
      <c r="G13" s="26"/>
      <c r="H13" s="10"/>
      <c r="I13" s="26"/>
      <c r="J13" s="10"/>
      <c r="K13" s="26"/>
      <c r="L13" s="10"/>
      <c r="M13" s="10"/>
      <c r="N13" s="10"/>
      <c r="O13" s="10"/>
      <c r="P13" s="13"/>
      <c r="Q13" s="10"/>
      <c r="R13" s="33"/>
      <c r="S13" s="10"/>
      <c r="T13" s="33"/>
      <c r="U13" s="10"/>
      <c r="V13" s="27"/>
      <c r="W13" s="28"/>
      <c r="X13" s="29" t="s">
        <v>12</v>
      </c>
      <c r="Y13" s="16">
        <v>12</v>
      </c>
      <c r="Z13" s="15"/>
      <c r="AA13" s="64"/>
      <c r="AD13" s="7" t="str">
        <f>X11</f>
        <v>WISCONSIN</v>
      </c>
      <c r="AE13" s="6" t="str">
        <f>F16</f>
        <v>KANSAS</v>
      </c>
      <c r="AG13" s="7" t="str">
        <f>R26</f>
        <v>GONZAGA</v>
      </c>
      <c r="AI13" s="7"/>
      <c r="AJ13" s="7"/>
      <c r="AK13" s="7"/>
    </row>
    <row r="14" spans="1:37" x14ac:dyDescent="0.2">
      <c r="A14" s="61"/>
      <c r="B14" s="15"/>
      <c r="D14" s="30"/>
      <c r="E14" s="28"/>
      <c r="F14" s="25"/>
      <c r="G14" s="20">
        <f>IF(H14=F12,E12)+IF(H14=F16,E16)</f>
        <v>5</v>
      </c>
      <c r="H14" s="17" t="s">
        <v>9</v>
      </c>
      <c r="I14" s="26"/>
      <c r="J14" s="10"/>
      <c r="K14" s="26"/>
      <c r="M14" s="37"/>
      <c r="N14" s="37" t="s">
        <v>13</v>
      </c>
      <c r="O14" s="37"/>
      <c r="P14" s="38"/>
      <c r="Q14" s="10"/>
      <c r="R14" s="33"/>
      <c r="S14" s="10"/>
      <c r="T14" s="18" t="s">
        <v>15</v>
      </c>
      <c r="U14" s="31">
        <f>IF(T14=V12,W12)+IF(T14=V16,W16)</f>
        <v>4</v>
      </c>
      <c r="V14" s="27"/>
      <c r="W14" s="28"/>
      <c r="X14" s="32"/>
      <c r="Z14" s="15"/>
      <c r="AA14" s="64"/>
      <c r="AD14" s="7" t="str">
        <f>X13</f>
        <v>HIGH PT</v>
      </c>
      <c r="AE14" s="7" t="str">
        <f>V12</f>
        <v>WISCONSIN</v>
      </c>
      <c r="AI14" s="7"/>
      <c r="AJ14" s="7"/>
      <c r="AK14" s="7"/>
    </row>
    <row r="15" spans="1:37" x14ac:dyDescent="0.2">
      <c r="A15" s="61"/>
      <c r="B15" s="15"/>
      <c r="C15" s="16">
        <v>4</v>
      </c>
      <c r="D15" s="17" t="s">
        <v>14</v>
      </c>
      <c r="E15" s="10"/>
      <c r="F15" s="11"/>
      <c r="G15" s="24"/>
      <c r="H15" s="28"/>
      <c r="I15" s="10"/>
      <c r="J15" s="10"/>
      <c r="K15" s="26"/>
      <c r="L15" s="10"/>
      <c r="M15" s="10"/>
      <c r="N15" s="10"/>
      <c r="O15" s="10"/>
      <c r="P15" s="13"/>
      <c r="Q15" s="10"/>
      <c r="R15" s="33"/>
      <c r="S15" s="10"/>
      <c r="T15" s="34"/>
      <c r="U15" s="28"/>
      <c r="V15" s="33"/>
      <c r="W15" s="10"/>
      <c r="X15" s="18" t="s">
        <v>15</v>
      </c>
      <c r="Y15" s="16">
        <v>4</v>
      </c>
      <c r="Z15" s="15"/>
      <c r="AA15" s="64"/>
      <c r="AD15" s="6" t="str">
        <f>D15</f>
        <v>KANSAS</v>
      </c>
      <c r="AE15" s="7" t="str">
        <f>V16</f>
        <v>ARKANSAS</v>
      </c>
      <c r="AI15" s="7"/>
      <c r="AJ15" s="7"/>
      <c r="AK15" s="7"/>
    </row>
    <row r="16" spans="1:37" ht="12.75" customHeight="1" x14ac:dyDescent="0.2">
      <c r="A16" s="61"/>
      <c r="B16" s="15"/>
      <c r="D16" s="19"/>
      <c r="E16" s="20">
        <f>IF(F16=D15,C15)+IF(F16=D17,C17)</f>
        <v>4</v>
      </c>
      <c r="F16" s="17" t="s">
        <v>14</v>
      </c>
      <c r="G16" s="24"/>
      <c r="H16" s="66" t="s">
        <v>16</v>
      </c>
      <c r="I16" s="10"/>
      <c r="J16" s="10"/>
      <c r="K16" s="26"/>
      <c r="L16" s="10"/>
      <c r="M16" s="10"/>
      <c r="N16" s="10"/>
      <c r="O16" s="10"/>
      <c r="P16" s="13"/>
      <c r="Q16" s="10"/>
      <c r="R16" s="33"/>
      <c r="S16" s="10"/>
      <c r="T16" s="67" t="s">
        <v>17</v>
      </c>
      <c r="U16" s="28"/>
      <c r="V16" s="18" t="s">
        <v>15</v>
      </c>
      <c r="W16" s="22">
        <f>IF(V16=X15,Y15)+IF(V16=X17,Y17)</f>
        <v>4</v>
      </c>
      <c r="X16" s="23"/>
      <c r="Z16" s="15"/>
      <c r="AA16" s="64"/>
      <c r="AD16" s="6" t="str">
        <f>D17</f>
        <v>CAL BAP</v>
      </c>
      <c r="AI16" s="7"/>
      <c r="AJ16" s="7"/>
      <c r="AK16" s="7"/>
    </row>
    <row r="17" spans="1:37" x14ac:dyDescent="0.2">
      <c r="A17" s="62"/>
      <c r="B17" s="15"/>
      <c r="C17" s="16">
        <v>13</v>
      </c>
      <c r="D17" s="17" t="s">
        <v>18</v>
      </c>
      <c r="E17" s="24"/>
      <c r="F17" s="25"/>
      <c r="G17" s="10"/>
      <c r="H17" s="66"/>
      <c r="I17" s="10"/>
      <c r="J17" s="10"/>
      <c r="K17" s="20">
        <f>IF(L17=J10,I10)+IF(L17=J26,I26)</f>
        <v>1</v>
      </c>
      <c r="L17" s="17" t="s">
        <v>1</v>
      </c>
      <c r="M17" s="10"/>
      <c r="N17" s="10"/>
      <c r="O17" s="10"/>
      <c r="P17" s="18" t="s">
        <v>25</v>
      </c>
      <c r="Q17" s="31">
        <f>IF(P17=R10,S10)+IF(P17=R26,S26)</f>
        <v>3</v>
      </c>
      <c r="R17" s="33"/>
      <c r="S17" s="10"/>
      <c r="T17" s="67"/>
      <c r="U17" s="10"/>
      <c r="V17" s="34"/>
      <c r="W17" s="28"/>
      <c r="X17" s="29" t="s">
        <v>19</v>
      </c>
      <c r="Y17" s="16">
        <v>13</v>
      </c>
      <c r="Z17" s="15"/>
      <c r="AA17" s="65"/>
      <c r="AD17" s="7" t="str">
        <f>X15</f>
        <v>ARKANSAS</v>
      </c>
      <c r="AH17" s="6" t="str">
        <f>L17</f>
        <v>DUKE</v>
      </c>
      <c r="AJ17" s="7"/>
      <c r="AK17" s="7"/>
    </row>
    <row r="18" spans="1:37" x14ac:dyDescent="0.2">
      <c r="A18" s="35"/>
      <c r="B18" s="15"/>
      <c r="D18" s="30"/>
      <c r="E18" s="28"/>
      <c r="F18" s="25"/>
      <c r="H18" s="66"/>
      <c r="I18" s="39"/>
      <c r="J18" s="40"/>
      <c r="K18" s="24"/>
      <c r="L18" s="28"/>
      <c r="M18" s="26"/>
      <c r="N18" s="10"/>
      <c r="O18" s="10"/>
      <c r="P18" s="41"/>
      <c r="Q18" s="28"/>
      <c r="R18" s="42"/>
      <c r="S18" s="39"/>
      <c r="T18" s="67"/>
      <c r="U18" s="39"/>
      <c r="V18" s="34"/>
      <c r="W18" s="28"/>
      <c r="X18" s="32"/>
      <c r="Z18" s="15"/>
      <c r="AA18" s="36"/>
      <c r="AD18" s="7" t="str">
        <f>X17</f>
        <v>HAWAII</v>
      </c>
      <c r="AH18" s="6" t="str">
        <f>L51</f>
        <v>ILLINOIS</v>
      </c>
      <c r="AJ18" s="7"/>
      <c r="AK18" s="7"/>
    </row>
    <row r="19" spans="1:37" ht="12.75" customHeight="1" x14ac:dyDescent="0.2">
      <c r="A19" s="54">
        <v>46100</v>
      </c>
      <c r="B19" s="15"/>
      <c r="C19" s="16">
        <v>6</v>
      </c>
      <c r="D19" s="17" t="s">
        <v>20</v>
      </c>
      <c r="E19" s="10"/>
      <c r="F19" s="11"/>
      <c r="G19" s="10"/>
      <c r="H19" s="66"/>
      <c r="I19" s="10"/>
      <c r="J19" s="10"/>
      <c r="K19" s="24"/>
      <c r="L19" s="28"/>
      <c r="M19" s="26"/>
      <c r="N19" s="10"/>
      <c r="O19" s="10"/>
      <c r="P19" s="27"/>
      <c r="Q19" s="28"/>
      <c r="R19" s="33"/>
      <c r="S19" s="10"/>
      <c r="T19" s="67"/>
      <c r="U19" s="10"/>
      <c r="V19" s="13"/>
      <c r="W19" s="10"/>
      <c r="X19" s="18" t="s">
        <v>21</v>
      </c>
      <c r="Y19" s="16">
        <v>6</v>
      </c>
      <c r="Z19" s="15"/>
      <c r="AA19" s="63">
        <v>46100</v>
      </c>
      <c r="AD19" s="6" t="str">
        <f>D19</f>
        <v>LOUISVILLE</v>
      </c>
      <c r="AH19" s="7" t="str">
        <f>P17</f>
        <v>GONZAGA</v>
      </c>
      <c r="AI19" s="7"/>
      <c r="AJ19" s="7"/>
      <c r="AK19" s="7"/>
    </row>
    <row r="20" spans="1:37" ht="12.75" customHeight="1" x14ac:dyDescent="0.2">
      <c r="A20" s="55"/>
      <c r="B20" s="15"/>
      <c r="D20" s="19"/>
      <c r="E20" s="20">
        <f>IF(F20=D19,C19)+IF(F20=D21,C21)</f>
        <v>6</v>
      </c>
      <c r="F20" s="17" t="s">
        <v>20</v>
      </c>
      <c r="G20" s="10"/>
      <c r="H20" s="66"/>
      <c r="I20" s="10"/>
      <c r="J20" s="10"/>
      <c r="K20" s="26"/>
      <c r="L20" s="10"/>
      <c r="M20" s="26"/>
      <c r="N20" s="10"/>
      <c r="O20" s="10"/>
      <c r="P20" s="33"/>
      <c r="Q20" s="10"/>
      <c r="R20" s="33"/>
      <c r="S20" s="10"/>
      <c r="T20" s="67"/>
      <c r="U20" s="10"/>
      <c r="V20" s="18" t="s">
        <v>21</v>
      </c>
      <c r="W20" s="22">
        <f>IF(V20=X19,Y19)+IF(V20=X21,Y21)</f>
        <v>6</v>
      </c>
      <c r="X20" s="23"/>
      <c r="Z20" s="15"/>
      <c r="AA20" s="64"/>
      <c r="AD20" s="6" t="str">
        <f>D21</f>
        <v>S FLORIDA</v>
      </c>
      <c r="AE20" s="6" t="str">
        <f>F20</f>
        <v>LOUISVILLE</v>
      </c>
      <c r="AH20" s="7" t="str">
        <f>P51</f>
        <v>IOWA ST</v>
      </c>
      <c r="AI20" s="7"/>
      <c r="AJ20" s="7"/>
      <c r="AK20" s="7"/>
    </row>
    <row r="21" spans="1:37" x14ac:dyDescent="0.2">
      <c r="A21" s="55"/>
      <c r="B21" s="15"/>
      <c r="C21" s="16">
        <v>11</v>
      </c>
      <c r="D21" s="17" t="s">
        <v>22</v>
      </c>
      <c r="E21" s="24"/>
      <c r="F21" s="25"/>
      <c r="G21" s="26"/>
      <c r="H21" s="10"/>
      <c r="I21" s="10"/>
      <c r="J21" s="10"/>
      <c r="K21" s="26"/>
      <c r="L21" s="10"/>
      <c r="M21" s="26"/>
      <c r="N21" s="10"/>
      <c r="O21" s="10"/>
      <c r="P21" s="33"/>
      <c r="Q21" s="10"/>
      <c r="R21" s="33"/>
      <c r="S21" s="10"/>
      <c r="T21" s="13"/>
      <c r="U21" s="10"/>
      <c r="V21" s="27"/>
      <c r="W21" s="28"/>
      <c r="X21" s="29" t="s">
        <v>23</v>
      </c>
      <c r="Y21" s="16">
        <v>11</v>
      </c>
      <c r="Z21" s="15"/>
      <c r="AA21" s="64"/>
      <c r="AD21" s="7" t="str">
        <f>X19</f>
        <v>BYU</v>
      </c>
      <c r="AE21" s="6" t="str">
        <f>F24</f>
        <v>MICH ST</v>
      </c>
      <c r="AI21" s="7"/>
      <c r="AJ21" s="7"/>
      <c r="AK21" s="7"/>
    </row>
    <row r="22" spans="1:37" x14ac:dyDescent="0.2">
      <c r="A22" s="55"/>
      <c r="B22" s="15"/>
      <c r="D22" s="30"/>
      <c r="E22" s="28"/>
      <c r="F22" s="25"/>
      <c r="G22" s="20">
        <f>IF(H22=F20,E20)+IF(H22=F24,E24)</f>
        <v>6</v>
      </c>
      <c r="H22" s="17" t="s">
        <v>20</v>
      </c>
      <c r="I22" s="10"/>
      <c r="J22" s="10"/>
      <c r="K22" s="26"/>
      <c r="L22" s="10"/>
      <c r="M22" s="26"/>
      <c r="N22" s="10"/>
      <c r="O22" s="10"/>
      <c r="P22" s="33"/>
      <c r="Q22" s="10"/>
      <c r="R22" s="33"/>
      <c r="S22" s="10"/>
      <c r="T22" s="18" t="s">
        <v>25</v>
      </c>
      <c r="U22" s="31">
        <f>IF(T22=V20,W20)+IF(T22=V24,W24)</f>
        <v>3</v>
      </c>
      <c r="V22" s="27"/>
      <c r="W22" s="28"/>
      <c r="X22" s="32"/>
      <c r="Z22" s="15"/>
      <c r="AA22" s="64"/>
      <c r="AD22" s="7" t="str">
        <f>X21</f>
        <v>NC ST/TX</v>
      </c>
      <c r="AE22" s="7" t="str">
        <f>V20</f>
        <v>BYU</v>
      </c>
      <c r="AF22" s="6" t="str">
        <f>H22</f>
        <v>LOUISVILLE</v>
      </c>
      <c r="AI22" s="7"/>
      <c r="AJ22" s="7"/>
      <c r="AK22" s="7"/>
    </row>
    <row r="23" spans="1:37" x14ac:dyDescent="0.2">
      <c r="A23" s="55"/>
      <c r="B23" s="15"/>
      <c r="C23" s="16">
        <v>3</v>
      </c>
      <c r="D23" s="17" t="s">
        <v>24</v>
      </c>
      <c r="E23" s="10"/>
      <c r="F23" s="11"/>
      <c r="G23" s="24"/>
      <c r="H23" s="28"/>
      <c r="I23" s="26"/>
      <c r="J23" s="10"/>
      <c r="K23" s="26"/>
      <c r="L23" s="10"/>
      <c r="M23" s="26"/>
      <c r="N23" s="10"/>
      <c r="O23" s="10"/>
      <c r="P23" s="33"/>
      <c r="Q23" s="10"/>
      <c r="R23" s="33"/>
      <c r="S23" s="10"/>
      <c r="T23" s="27"/>
      <c r="U23" s="28"/>
      <c r="V23" s="33"/>
      <c r="W23" s="10"/>
      <c r="X23" s="18" t="s">
        <v>25</v>
      </c>
      <c r="Y23" s="16">
        <v>3</v>
      </c>
      <c r="Z23" s="15"/>
      <c r="AA23" s="64"/>
      <c r="AD23" s="6" t="str">
        <f>D23</f>
        <v>MICH ST</v>
      </c>
      <c r="AE23" s="7" t="str">
        <f>V24</f>
        <v>GONZAGA</v>
      </c>
      <c r="AF23" s="6" t="str">
        <f>H30</f>
        <v>UCONN</v>
      </c>
      <c r="AI23" s="7"/>
      <c r="AJ23" s="7"/>
      <c r="AK23" s="7"/>
    </row>
    <row r="24" spans="1:37" x14ac:dyDescent="0.2">
      <c r="A24" s="55"/>
      <c r="B24" s="15"/>
      <c r="D24" s="19"/>
      <c r="E24" s="20">
        <f>IF(F24=D23,C23)+IF(F24=D25,C25)</f>
        <v>3</v>
      </c>
      <c r="F24" s="17" t="s">
        <v>24</v>
      </c>
      <c r="G24" s="24"/>
      <c r="H24" s="43"/>
      <c r="I24" s="26"/>
      <c r="J24" s="10"/>
      <c r="K24" s="26"/>
      <c r="L24" s="10"/>
      <c r="M24" s="26"/>
      <c r="N24" s="10"/>
      <c r="O24" s="10"/>
      <c r="P24" s="33"/>
      <c r="Q24" s="10"/>
      <c r="R24" s="33"/>
      <c r="S24" s="10"/>
      <c r="T24" s="44"/>
      <c r="U24" s="28"/>
      <c r="V24" s="18" t="s">
        <v>25</v>
      </c>
      <c r="W24" s="22">
        <f>IF(V24=X23,Y23)+IF(V24=X25,Y25)</f>
        <v>3</v>
      </c>
      <c r="X24" s="23"/>
      <c r="Z24" s="15"/>
      <c r="AA24" s="64"/>
      <c r="AD24" s="6" t="str">
        <f>D25</f>
        <v>N DAK ST</v>
      </c>
      <c r="AF24" s="7" t="str">
        <f>T22</f>
        <v>GONZAGA</v>
      </c>
      <c r="AI24" s="7"/>
      <c r="AJ24" s="7"/>
      <c r="AK24" s="7"/>
    </row>
    <row r="25" spans="1:37" x14ac:dyDescent="0.2">
      <c r="A25" s="56"/>
      <c r="B25" s="15"/>
      <c r="C25" s="16">
        <v>14</v>
      </c>
      <c r="D25" s="17" t="s">
        <v>26</v>
      </c>
      <c r="E25" s="24"/>
      <c r="F25" s="25"/>
      <c r="G25" s="10"/>
      <c r="H25" s="10"/>
      <c r="I25" s="26"/>
      <c r="J25" s="10"/>
      <c r="K25" s="26"/>
      <c r="L25" s="10"/>
      <c r="M25" s="26"/>
      <c r="N25" s="10"/>
      <c r="O25" s="10"/>
      <c r="P25" s="33"/>
      <c r="Q25" s="10"/>
      <c r="R25" s="33"/>
      <c r="S25" s="10"/>
      <c r="T25" s="33"/>
      <c r="U25" s="10"/>
      <c r="V25" s="34"/>
      <c r="W25" s="28"/>
      <c r="X25" s="29" t="s">
        <v>27</v>
      </c>
      <c r="Y25" s="16">
        <v>14</v>
      </c>
      <c r="Z25" s="15"/>
      <c r="AA25" s="65"/>
      <c r="AD25" s="7" t="str">
        <f>X23</f>
        <v>GONZAGA</v>
      </c>
      <c r="AF25" s="7" t="str">
        <f>T30</f>
        <v>PURDUE</v>
      </c>
      <c r="AI25" s="7"/>
      <c r="AJ25" s="7"/>
      <c r="AK25" s="7"/>
    </row>
    <row r="26" spans="1:37" x14ac:dyDescent="0.2">
      <c r="A26" s="35"/>
      <c r="B26" s="15"/>
      <c r="D26" s="30"/>
      <c r="E26" s="28"/>
      <c r="F26" s="25"/>
      <c r="G26" s="10"/>
      <c r="H26" s="10"/>
      <c r="I26" s="20">
        <f>IF(J26=H22,G22)+IF(J26=H30,G30)</f>
        <v>6</v>
      </c>
      <c r="J26" s="17" t="s">
        <v>20</v>
      </c>
      <c r="K26" s="26"/>
      <c r="L26" s="10"/>
      <c r="M26" s="26"/>
      <c r="N26" s="10"/>
      <c r="O26" s="10"/>
      <c r="P26" s="33"/>
      <c r="Q26" s="10"/>
      <c r="R26" s="18" t="s">
        <v>25</v>
      </c>
      <c r="S26" s="31">
        <f>IF(R26=T22,U22)+IF(R26=T30,U30)</f>
        <v>3</v>
      </c>
      <c r="T26" s="33"/>
      <c r="U26" s="10"/>
      <c r="V26" s="34"/>
      <c r="W26" s="28"/>
      <c r="X26" s="32"/>
      <c r="Z26" s="15"/>
      <c r="AA26" s="36"/>
      <c r="AD26" s="7" t="str">
        <f>X25</f>
        <v>KENNESAW</v>
      </c>
      <c r="AI26" s="7"/>
      <c r="AJ26" s="7"/>
      <c r="AK26" s="7"/>
    </row>
    <row r="27" spans="1:37" ht="12.75" customHeight="1" x14ac:dyDescent="0.2">
      <c r="A27" s="60">
        <v>46101</v>
      </c>
      <c r="B27" s="15"/>
      <c r="C27" s="16">
        <v>7</v>
      </c>
      <c r="D27" s="17" t="s">
        <v>28</v>
      </c>
      <c r="E27" s="10"/>
      <c r="F27" s="11"/>
      <c r="G27" s="10"/>
      <c r="H27" s="10"/>
      <c r="I27" s="24"/>
      <c r="J27" s="28"/>
      <c r="K27" s="10"/>
      <c r="L27" s="10"/>
      <c r="M27" s="26"/>
      <c r="N27" s="10"/>
      <c r="O27" s="10"/>
      <c r="P27" s="33"/>
      <c r="Q27" s="10"/>
      <c r="R27" s="34"/>
      <c r="S27" s="28"/>
      <c r="T27" s="33"/>
      <c r="U27" s="10"/>
      <c r="V27" s="13"/>
      <c r="W27" s="10"/>
      <c r="X27" s="18" t="s">
        <v>29</v>
      </c>
      <c r="Y27" s="16">
        <v>7</v>
      </c>
      <c r="Z27" s="15"/>
      <c r="AA27" s="57">
        <v>46101</v>
      </c>
      <c r="AD27" s="6" t="str">
        <f>D27</f>
        <v>UCLA</v>
      </c>
      <c r="AI27" s="45" t="str">
        <f>N32</f>
        <v>DUKE</v>
      </c>
      <c r="AJ27" s="7"/>
      <c r="AK27" s="7"/>
    </row>
    <row r="28" spans="1:37" x14ac:dyDescent="0.2">
      <c r="A28" s="61"/>
      <c r="B28" s="15"/>
      <c r="D28" s="19"/>
      <c r="E28" s="20">
        <f>IF(F28=D27,C27)+IF(F28=D29,C29)</f>
        <v>7</v>
      </c>
      <c r="F28" s="17" t="s">
        <v>28</v>
      </c>
      <c r="G28" s="10"/>
      <c r="H28" s="10"/>
      <c r="I28" s="24"/>
      <c r="J28" s="28"/>
      <c r="K28" s="10"/>
      <c r="L28" s="10"/>
      <c r="M28" s="26"/>
      <c r="N28" s="10"/>
      <c r="O28" s="10"/>
      <c r="P28" s="33"/>
      <c r="Q28" s="10"/>
      <c r="R28" s="34"/>
      <c r="S28" s="28"/>
      <c r="T28" s="33"/>
      <c r="U28" s="10"/>
      <c r="V28" s="18" t="s">
        <v>29</v>
      </c>
      <c r="W28" s="22">
        <f>IF(V28=X27,Y27)+IF(V28=X29,Y29)</f>
        <v>7</v>
      </c>
      <c r="X28" s="23"/>
      <c r="Z28" s="15"/>
      <c r="AA28" s="58"/>
      <c r="AD28" s="6" t="str">
        <f>D29</f>
        <v>UCF</v>
      </c>
      <c r="AE28" s="6" t="str">
        <f>F28</f>
        <v>UCLA</v>
      </c>
      <c r="AI28" s="45" t="str">
        <f>N38</f>
        <v>IOWA ST</v>
      </c>
      <c r="AJ28" s="7"/>
      <c r="AK28" s="7"/>
    </row>
    <row r="29" spans="1:37" x14ac:dyDescent="0.2">
      <c r="A29" s="61"/>
      <c r="B29" s="15"/>
      <c r="C29" s="16">
        <v>10</v>
      </c>
      <c r="D29" s="17" t="s">
        <v>30</v>
      </c>
      <c r="E29" s="24"/>
      <c r="F29" s="25"/>
      <c r="G29" s="26"/>
      <c r="H29" s="10"/>
      <c r="I29" s="26"/>
      <c r="J29" s="10"/>
      <c r="K29" s="10"/>
      <c r="L29" s="10"/>
      <c r="M29" s="26"/>
      <c r="N29" s="10"/>
      <c r="O29" s="10"/>
      <c r="P29" s="33"/>
      <c r="Q29" s="10"/>
      <c r="R29" s="13"/>
      <c r="S29" s="10"/>
      <c r="T29" s="33"/>
      <c r="U29" s="10"/>
      <c r="V29" s="27"/>
      <c r="W29" s="28"/>
      <c r="X29" s="29" t="s">
        <v>31</v>
      </c>
      <c r="Y29" s="16">
        <v>10</v>
      </c>
      <c r="Z29" s="15"/>
      <c r="AA29" s="58"/>
      <c r="AD29" s="7" t="str">
        <f>X27</f>
        <v>MIAMI (FL)</v>
      </c>
      <c r="AE29" s="6" t="str">
        <f>F32</f>
        <v>UCONN</v>
      </c>
      <c r="AI29" s="7"/>
      <c r="AJ29" s="7"/>
      <c r="AK29" s="7"/>
    </row>
    <row r="30" spans="1:37" x14ac:dyDescent="0.2">
      <c r="A30" s="61"/>
      <c r="B30" s="15"/>
      <c r="D30" s="30"/>
      <c r="E30" s="28"/>
      <c r="F30" s="25"/>
      <c r="G30" s="20">
        <f>IF(H30=F28,E28)+IF(H30=F32,E32)</f>
        <v>2</v>
      </c>
      <c r="H30" s="17" t="s">
        <v>32</v>
      </c>
      <c r="I30" s="26"/>
      <c r="J30" s="10"/>
      <c r="K30" s="10"/>
      <c r="L30" s="10"/>
      <c r="M30" s="26"/>
      <c r="N30" s="10"/>
      <c r="O30" s="10"/>
      <c r="P30" s="33"/>
      <c r="Q30" s="10"/>
      <c r="R30" s="13"/>
      <c r="S30" s="10"/>
      <c r="T30" s="18" t="s">
        <v>33</v>
      </c>
      <c r="U30" s="31">
        <f>IF(T30=V28,W28)+IF(T30=V32,W32)</f>
        <v>2</v>
      </c>
      <c r="V30" s="27"/>
      <c r="W30" s="28"/>
      <c r="X30" s="32"/>
      <c r="Z30" s="15"/>
      <c r="AA30" s="58"/>
      <c r="AD30" s="7" t="str">
        <f>X29</f>
        <v>MISSOURI</v>
      </c>
      <c r="AE30" s="7" t="str">
        <f>V28</f>
        <v>MIAMI (FL)</v>
      </c>
      <c r="AI30" s="7"/>
      <c r="AJ30" s="7"/>
      <c r="AK30" s="7"/>
    </row>
    <row r="31" spans="1:37" x14ac:dyDescent="0.2">
      <c r="A31" s="61"/>
      <c r="B31" s="15"/>
      <c r="C31" s="16">
        <v>2</v>
      </c>
      <c r="D31" s="17" t="s">
        <v>32</v>
      </c>
      <c r="E31" s="10"/>
      <c r="F31" s="11"/>
      <c r="G31" s="24"/>
      <c r="H31" s="28"/>
      <c r="I31" s="10"/>
      <c r="J31" s="10"/>
      <c r="K31" s="10"/>
      <c r="L31" s="10"/>
      <c r="M31" s="26"/>
      <c r="N31" s="10"/>
      <c r="O31" s="10"/>
      <c r="P31" s="33"/>
      <c r="Q31" s="10"/>
      <c r="R31" s="13"/>
      <c r="S31" s="10"/>
      <c r="T31" s="34"/>
      <c r="U31" s="28"/>
      <c r="V31" s="33"/>
      <c r="W31" s="10"/>
      <c r="X31" s="18" t="s">
        <v>33</v>
      </c>
      <c r="Y31" s="16">
        <v>2</v>
      </c>
      <c r="Z31" s="15"/>
      <c r="AA31" s="58"/>
      <c r="AD31" s="6" t="str">
        <f>D31</f>
        <v>UCONN</v>
      </c>
      <c r="AE31" s="7" t="str">
        <f>V32</f>
        <v>PURDUE</v>
      </c>
      <c r="AI31" s="7"/>
      <c r="AJ31" s="7"/>
      <c r="AK31" s="7"/>
    </row>
    <row r="32" spans="1:37" x14ac:dyDescent="0.2">
      <c r="A32" s="61"/>
      <c r="B32" s="15"/>
      <c r="D32" s="19"/>
      <c r="E32" s="20">
        <f>IF(F32=D31,C31)+IF(F32=D33,C33)</f>
        <v>2</v>
      </c>
      <c r="F32" s="17" t="s">
        <v>32</v>
      </c>
      <c r="G32" s="24"/>
      <c r="H32" s="28"/>
      <c r="K32" s="10"/>
      <c r="L32" s="10"/>
      <c r="M32" s="20">
        <f>IF(N32=L17,K17)+IF(N32=L51,K51)</f>
        <v>1</v>
      </c>
      <c r="N32" s="17" t="s">
        <v>1</v>
      </c>
      <c r="O32" s="10"/>
      <c r="P32" s="33"/>
      <c r="Q32" s="10"/>
      <c r="R32" s="13"/>
      <c r="S32" s="10"/>
      <c r="T32" s="46"/>
      <c r="U32" s="28"/>
      <c r="V32" s="18" t="s">
        <v>33</v>
      </c>
      <c r="W32" s="22">
        <f>IF(V32=X31,Y31)+IF(V32=X33,Y33)</f>
        <v>2</v>
      </c>
      <c r="X32" s="23"/>
      <c r="Z32" s="15"/>
      <c r="AA32" s="58"/>
      <c r="AD32" s="6" t="str">
        <f>D33</f>
        <v>FURMAN</v>
      </c>
      <c r="AI32" s="7"/>
      <c r="AJ32" s="7"/>
      <c r="AK32" s="7"/>
    </row>
    <row r="33" spans="1:37" x14ac:dyDescent="0.2">
      <c r="A33" s="62"/>
      <c r="B33" s="15"/>
      <c r="C33" s="16">
        <v>15</v>
      </c>
      <c r="D33" s="17" t="s">
        <v>34</v>
      </c>
      <c r="E33" s="24"/>
      <c r="F33" s="25"/>
      <c r="G33" s="10"/>
      <c r="H33" s="10"/>
      <c r="L33" s="10"/>
      <c r="M33" s="47"/>
      <c r="O33" s="10"/>
      <c r="P33" s="33"/>
      <c r="Q33" s="10"/>
      <c r="R33" s="13"/>
      <c r="S33" s="10"/>
      <c r="T33" s="13"/>
      <c r="U33" s="10"/>
      <c r="V33" s="34"/>
      <c r="W33" s="28"/>
      <c r="X33" s="29" t="s">
        <v>35</v>
      </c>
      <c r="Y33" s="16">
        <v>15</v>
      </c>
      <c r="Z33" s="15"/>
      <c r="AA33" s="59"/>
      <c r="AD33" s="7" t="str">
        <f>X31</f>
        <v>PURDUE</v>
      </c>
      <c r="AI33" s="7"/>
      <c r="AJ33" s="7"/>
      <c r="AK33" s="7"/>
    </row>
    <row r="34" spans="1:37" x14ac:dyDescent="0.2">
      <c r="A34" s="35"/>
      <c r="B34" s="15"/>
      <c r="E34" s="28"/>
      <c r="F34" s="25"/>
      <c r="G34" s="10"/>
      <c r="H34" s="10"/>
      <c r="L34" s="10"/>
      <c r="M34" s="24"/>
      <c r="N34" s="28"/>
      <c r="O34" s="10"/>
      <c r="P34" s="33"/>
      <c r="Q34" s="10"/>
      <c r="R34" s="13"/>
      <c r="S34" s="10"/>
      <c r="T34" s="13"/>
      <c r="U34" s="10"/>
      <c r="V34" s="34"/>
      <c r="W34" s="28"/>
      <c r="Z34" s="15"/>
      <c r="AA34" s="35"/>
      <c r="AD34" s="7" t="str">
        <f>X33</f>
        <v>QUEENS</v>
      </c>
      <c r="AI34" s="7"/>
      <c r="AJ34" s="7"/>
      <c r="AK34" s="7"/>
    </row>
    <row r="35" spans="1:37" x14ac:dyDescent="0.2">
      <c r="A35" s="35"/>
      <c r="B35" s="15"/>
      <c r="C35" s="2"/>
      <c r="D35" s="2"/>
      <c r="E35" s="3"/>
      <c r="F35" s="4"/>
      <c r="G35" s="3"/>
      <c r="H35" s="3"/>
      <c r="I35" s="3"/>
      <c r="J35" s="3"/>
      <c r="K35" s="3"/>
      <c r="L35" s="48"/>
      <c r="M35" s="24"/>
      <c r="N35" s="17" t="s">
        <v>1</v>
      </c>
      <c r="P35" s="24"/>
      <c r="Q35" s="3"/>
      <c r="R35" s="3"/>
      <c r="S35" s="3"/>
      <c r="T35" s="5"/>
      <c r="U35" s="3"/>
      <c r="V35" s="5"/>
      <c r="W35" s="3"/>
      <c r="X35" s="2"/>
      <c r="Y35" s="2"/>
      <c r="Z35" s="15"/>
      <c r="AA35" s="35"/>
      <c r="AI35" s="7"/>
      <c r="AJ35" s="7"/>
      <c r="AK35" s="7"/>
    </row>
    <row r="36" spans="1:37" x14ac:dyDescent="0.2">
      <c r="A36" s="35"/>
      <c r="B36" s="15"/>
      <c r="E36" s="10"/>
      <c r="F36" s="11"/>
      <c r="G36" s="10"/>
      <c r="H36" s="10"/>
      <c r="I36" s="10"/>
      <c r="J36" s="10"/>
      <c r="K36" s="10"/>
      <c r="L36" s="10"/>
      <c r="M36" s="26"/>
      <c r="N36" s="49">
        <f>IF(N35=N32,M32)+IF(N35=N38,O38)</f>
        <v>1</v>
      </c>
      <c r="O36" s="10"/>
      <c r="P36" s="27"/>
      <c r="Q36" s="10"/>
      <c r="R36" s="13"/>
      <c r="S36" s="10"/>
      <c r="T36" s="13"/>
      <c r="U36" s="10"/>
      <c r="V36" s="13"/>
      <c r="W36" s="10"/>
      <c r="Z36" s="15"/>
      <c r="AA36" s="35"/>
      <c r="AI36" s="7"/>
      <c r="AJ36" s="7"/>
      <c r="AK36" s="7"/>
    </row>
    <row r="37" spans="1:37" ht="12.75" customHeight="1" x14ac:dyDescent="0.2">
      <c r="A37" s="60">
        <v>46101</v>
      </c>
      <c r="B37" s="15"/>
      <c r="C37" s="16">
        <v>1</v>
      </c>
      <c r="D37" s="17" t="s">
        <v>36</v>
      </c>
      <c r="E37" s="10"/>
      <c r="F37" s="11"/>
      <c r="G37" s="10"/>
      <c r="H37" s="10"/>
      <c r="I37" s="10"/>
      <c r="J37" s="10"/>
      <c r="K37" s="10"/>
      <c r="L37" s="10"/>
      <c r="M37" s="26"/>
      <c r="P37" s="33"/>
      <c r="Q37" s="10"/>
      <c r="R37" s="13"/>
      <c r="S37" s="10"/>
      <c r="T37" s="13"/>
      <c r="U37" s="10"/>
      <c r="V37" s="13"/>
      <c r="W37" s="10"/>
      <c r="X37" s="18" t="s">
        <v>37</v>
      </c>
      <c r="Y37" s="16">
        <v>1</v>
      </c>
      <c r="Z37" s="15"/>
      <c r="AA37" s="63">
        <v>46100</v>
      </c>
      <c r="AD37" s="6" t="str">
        <f>D37</f>
        <v>FLORIDA</v>
      </c>
      <c r="AI37" s="7"/>
      <c r="AJ37" s="7"/>
      <c r="AK37" s="7"/>
    </row>
    <row r="38" spans="1:37" x14ac:dyDescent="0.2">
      <c r="A38" s="61"/>
      <c r="B38" s="15"/>
      <c r="D38" s="19"/>
      <c r="E38" s="20">
        <f>IF(F38=D37,C37)+IF(F38=D39,C39)</f>
        <v>1</v>
      </c>
      <c r="F38" s="17" t="s">
        <v>36</v>
      </c>
      <c r="G38" s="10"/>
      <c r="H38" s="10"/>
      <c r="I38" s="10"/>
      <c r="J38" s="10"/>
      <c r="K38" s="10"/>
      <c r="L38" s="10"/>
      <c r="M38" s="26"/>
      <c r="N38" s="18" t="s">
        <v>67</v>
      </c>
      <c r="O38" s="31">
        <f>IF(N38=P17,Q17)+IF(N38=P51,Q51)</f>
        <v>2</v>
      </c>
      <c r="P38" s="33"/>
      <c r="Q38" s="10"/>
      <c r="R38" s="13"/>
      <c r="S38" s="10"/>
      <c r="T38" s="13"/>
      <c r="U38" s="10"/>
      <c r="V38" s="18" t="s">
        <v>37</v>
      </c>
      <c r="W38" s="22">
        <f>IF(V38=X37,Y37)+IF(V38=X39,Y39)</f>
        <v>1</v>
      </c>
      <c r="X38" s="23"/>
      <c r="Z38" s="15"/>
      <c r="AA38" s="64"/>
      <c r="AD38" s="6" t="str">
        <f>D39</f>
        <v>LEHIGH/PVAM</v>
      </c>
      <c r="AE38" s="6" t="str">
        <f>F38</f>
        <v>FLORIDA</v>
      </c>
      <c r="AI38" s="7"/>
      <c r="AJ38" s="7"/>
      <c r="AK38" s="7"/>
    </row>
    <row r="39" spans="1:37" x14ac:dyDescent="0.2">
      <c r="A39" s="61"/>
      <c r="B39" s="15"/>
      <c r="C39" s="16">
        <v>16</v>
      </c>
      <c r="D39" s="17" t="s">
        <v>38</v>
      </c>
      <c r="E39" s="24"/>
      <c r="F39" s="25"/>
      <c r="G39" s="26"/>
      <c r="H39" s="10"/>
      <c r="I39" s="10"/>
      <c r="J39" s="10"/>
      <c r="K39" s="10"/>
      <c r="L39" s="10"/>
      <c r="M39" s="26"/>
      <c r="N39" s="34"/>
      <c r="O39" s="28"/>
      <c r="P39" s="33"/>
      <c r="Q39" s="10"/>
      <c r="R39" s="13"/>
      <c r="S39" s="10"/>
      <c r="T39" s="13"/>
      <c r="U39" s="10"/>
      <c r="V39" s="27"/>
      <c r="W39" s="28"/>
      <c r="X39" s="29" t="s">
        <v>39</v>
      </c>
      <c r="Y39" s="16">
        <v>16</v>
      </c>
      <c r="Z39" s="15"/>
      <c r="AA39" s="64"/>
      <c r="AD39" s="7" t="str">
        <f>X37</f>
        <v>MICHIGAN</v>
      </c>
      <c r="AE39" s="6" t="str">
        <f>F42</f>
        <v>CLEMSON</v>
      </c>
      <c r="AI39" s="7"/>
      <c r="AJ39" s="7"/>
      <c r="AK39" s="7"/>
    </row>
    <row r="40" spans="1:37" x14ac:dyDescent="0.2">
      <c r="A40" s="61"/>
      <c r="B40" s="15"/>
      <c r="D40" s="30"/>
      <c r="E40" s="28"/>
      <c r="F40" s="25"/>
      <c r="G40" s="20">
        <f>IF(H40=F38,E38)+IF(H40=F42,E42)</f>
        <v>1</v>
      </c>
      <c r="H40" s="17" t="s">
        <v>36</v>
      </c>
      <c r="I40" s="10"/>
      <c r="J40" s="10"/>
      <c r="K40" s="10"/>
      <c r="L40" s="10"/>
      <c r="M40" s="26"/>
      <c r="N40" s="10"/>
      <c r="O40" s="10"/>
      <c r="P40" s="33"/>
      <c r="Q40" s="10"/>
      <c r="R40" s="13"/>
      <c r="S40" s="10"/>
      <c r="T40" s="18" t="s">
        <v>37</v>
      </c>
      <c r="U40" s="31">
        <f>IF(T40=V38,W38)+IF(T40=V42,W42)</f>
        <v>1</v>
      </c>
      <c r="V40" s="27"/>
      <c r="W40" s="28"/>
      <c r="X40" s="32"/>
      <c r="Z40" s="15"/>
      <c r="AA40" s="64"/>
      <c r="AD40" s="7" t="str">
        <f>X39</f>
        <v>HOW/UMBC</v>
      </c>
      <c r="AE40" s="7" t="str">
        <f>V38</f>
        <v>MICHIGAN</v>
      </c>
      <c r="AF40" s="6" t="str">
        <f>H40</f>
        <v>FLORIDA</v>
      </c>
      <c r="AI40" s="7"/>
      <c r="AJ40" s="7"/>
      <c r="AK40" s="7"/>
    </row>
    <row r="41" spans="1:37" x14ac:dyDescent="0.2">
      <c r="A41" s="61"/>
      <c r="B41" s="15"/>
      <c r="C41" s="16">
        <v>8</v>
      </c>
      <c r="D41" s="17" t="s">
        <v>40</v>
      </c>
      <c r="E41" s="10"/>
      <c r="F41" s="11"/>
      <c r="G41" s="24"/>
      <c r="H41" s="28"/>
      <c r="I41" s="26"/>
      <c r="J41" s="10"/>
      <c r="K41" s="10"/>
      <c r="L41" s="10"/>
      <c r="M41" s="26"/>
      <c r="N41" s="10"/>
      <c r="O41" s="10"/>
      <c r="P41" s="33"/>
      <c r="Q41" s="10"/>
      <c r="R41" s="13"/>
      <c r="S41" s="10"/>
      <c r="T41" s="27"/>
      <c r="U41" s="28"/>
      <c r="V41" s="33"/>
      <c r="W41" s="10"/>
      <c r="X41" s="18" t="s">
        <v>41</v>
      </c>
      <c r="Y41" s="16">
        <v>8</v>
      </c>
      <c r="Z41" s="15"/>
      <c r="AA41" s="64"/>
      <c r="AD41" s="6" t="str">
        <f>D41</f>
        <v>CLEMSON</v>
      </c>
      <c r="AE41" s="7" t="str">
        <f>V42</f>
        <v>ST LOUIS</v>
      </c>
      <c r="AF41" s="6" t="str">
        <f>H48</f>
        <v>NEBRASKA</v>
      </c>
      <c r="AI41" s="7"/>
      <c r="AJ41" s="7"/>
      <c r="AK41" s="7"/>
    </row>
    <row r="42" spans="1:37" x14ac:dyDescent="0.2">
      <c r="A42" s="61"/>
      <c r="B42" s="15"/>
      <c r="D42" s="19"/>
      <c r="E42" s="20">
        <f>IF(F42=D41,C41)+IF(F42=D43,C43)</f>
        <v>8</v>
      </c>
      <c r="F42" s="17" t="s">
        <v>40</v>
      </c>
      <c r="G42" s="24"/>
      <c r="H42" s="28"/>
      <c r="I42" s="26"/>
      <c r="J42" s="10"/>
      <c r="K42" s="10"/>
      <c r="L42" s="10"/>
      <c r="M42" s="26"/>
      <c r="N42" s="10"/>
      <c r="O42" s="10"/>
      <c r="P42" s="33"/>
      <c r="Q42" s="10"/>
      <c r="R42" s="13"/>
      <c r="S42" s="10"/>
      <c r="T42" s="27"/>
      <c r="U42" s="28"/>
      <c r="V42" s="29" t="s">
        <v>43</v>
      </c>
      <c r="W42" s="22">
        <f>IF(V42=X41,Y41)+IF(V42=X43,Y43)</f>
        <v>9</v>
      </c>
      <c r="X42" s="23"/>
      <c r="Z42" s="15"/>
      <c r="AA42" s="64"/>
      <c r="AD42" s="6" t="str">
        <f>D43</f>
        <v>IOWA</v>
      </c>
      <c r="AF42" s="7" t="str">
        <f>T40</f>
        <v>MICHIGAN</v>
      </c>
      <c r="AI42" s="7"/>
      <c r="AJ42" s="7"/>
      <c r="AK42" s="7"/>
    </row>
    <row r="43" spans="1:37" x14ac:dyDescent="0.2">
      <c r="A43" s="62"/>
      <c r="B43" s="15"/>
      <c r="C43" s="16">
        <v>9</v>
      </c>
      <c r="D43" s="17" t="s">
        <v>42</v>
      </c>
      <c r="E43" s="24"/>
      <c r="F43" s="25"/>
      <c r="G43" s="10"/>
      <c r="H43" s="10"/>
      <c r="I43" s="26"/>
      <c r="J43" s="10"/>
      <c r="K43" s="10"/>
      <c r="L43" s="10"/>
      <c r="M43" s="26"/>
      <c r="N43" s="10"/>
      <c r="O43" s="10"/>
      <c r="P43" s="33"/>
      <c r="Q43" s="10"/>
      <c r="R43" s="13"/>
      <c r="S43" s="10"/>
      <c r="T43" s="33"/>
      <c r="U43" s="10"/>
      <c r="V43" s="34"/>
      <c r="W43" s="28"/>
      <c r="X43" s="29" t="s">
        <v>43</v>
      </c>
      <c r="Y43" s="16">
        <v>9</v>
      </c>
      <c r="Z43" s="15"/>
      <c r="AA43" s="65"/>
      <c r="AD43" s="7" t="str">
        <f>X41</f>
        <v>GEORGIA</v>
      </c>
      <c r="AF43" s="7" t="str">
        <f>T48</f>
        <v>TEXAS TECH</v>
      </c>
      <c r="AI43" s="7"/>
      <c r="AJ43" s="7"/>
      <c r="AK43" s="7"/>
    </row>
    <row r="44" spans="1:37" x14ac:dyDescent="0.2">
      <c r="A44" s="35"/>
      <c r="B44" s="15"/>
      <c r="D44" s="30"/>
      <c r="E44" s="28"/>
      <c r="F44" s="25"/>
      <c r="G44" s="10"/>
      <c r="H44" s="10"/>
      <c r="I44" s="20">
        <f>IF(J44=H40,G40)+IF(J44=H48,G48)</f>
        <v>4</v>
      </c>
      <c r="J44" s="17" t="s">
        <v>48</v>
      </c>
      <c r="K44" s="10"/>
      <c r="L44" s="10"/>
      <c r="M44" s="26"/>
      <c r="N44" s="10"/>
      <c r="O44" s="10"/>
      <c r="P44" s="33"/>
      <c r="Q44" s="10"/>
      <c r="R44" s="18" t="s">
        <v>37</v>
      </c>
      <c r="S44" s="31">
        <f>IF(R44=T40,U40)+IF(R44=T48,U48)</f>
        <v>1</v>
      </c>
      <c r="T44" s="33"/>
      <c r="U44" s="10"/>
      <c r="V44" s="34"/>
      <c r="W44" s="28"/>
      <c r="X44" s="32"/>
      <c r="Z44" s="15"/>
      <c r="AA44" s="35"/>
      <c r="AD44" s="7" t="str">
        <f>X43</f>
        <v>ST LOUIS</v>
      </c>
      <c r="AG44" s="6" t="str">
        <f>J44</f>
        <v>NEBRASKA</v>
      </c>
      <c r="AI44" s="7"/>
      <c r="AK44" s="7"/>
    </row>
    <row r="45" spans="1:37" ht="12.75" customHeight="1" x14ac:dyDescent="0.2">
      <c r="A45" s="54">
        <v>46100</v>
      </c>
      <c r="B45" s="15"/>
      <c r="C45" s="16">
        <v>5</v>
      </c>
      <c r="D45" s="17" t="s">
        <v>44</v>
      </c>
      <c r="E45" s="10"/>
      <c r="F45" s="11"/>
      <c r="G45" s="10"/>
      <c r="H45" s="10"/>
      <c r="I45" s="24"/>
      <c r="J45" s="28"/>
      <c r="K45" s="26"/>
      <c r="L45" s="10"/>
      <c r="M45" s="26"/>
      <c r="N45" s="10"/>
      <c r="O45" s="10"/>
      <c r="P45" s="33"/>
      <c r="Q45" s="10"/>
      <c r="R45" s="27"/>
      <c r="S45" s="28"/>
      <c r="T45" s="33"/>
      <c r="U45" s="10"/>
      <c r="V45" s="13"/>
      <c r="W45" s="10"/>
      <c r="X45" s="18" t="s">
        <v>45</v>
      </c>
      <c r="Y45" s="16">
        <v>5</v>
      </c>
      <c r="Z45" s="15"/>
      <c r="AA45" s="57">
        <v>46101</v>
      </c>
      <c r="AD45" s="6" t="str">
        <f>D45</f>
        <v>VANDY</v>
      </c>
      <c r="AG45" s="6" t="str">
        <f>J60</f>
        <v>ILLINOIS</v>
      </c>
      <c r="AI45" s="7"/>
      <c r="AK45" s="7"/>
    </row>
    <row r="46" spans="1:37" x14ac:dyDescent="0.2">
      <c r="A46" s="55"/>
      <c r="B46" s="15"/>
      <c r="D46" s="19"/>
      <c r="E46" s="20">
        <f>IF(F46=D45,C45)+IF(F46=D47,C47)</f>
        <v>5</v>
      </c>
      <c r="F46" s="17" t="s">
        <v>44</v>
      </c>
      <c r="G46" s="10"/>
      <c r="H46" s="10"/>
      <c r="I46" s="24"/>
      <c r="J46" s="28"/>
      <c r="K46" s="26"/>
      <c r="L46" s="10"/>
      <c r="M46" s="26"/>
      <c r="N46" s="10"/>
      <c r="O46" s="10"/>
      <c r="P46" s="33"/>
      <c r="Q46" s="10"/>
      <c r="R46" s="27"/>
      <c r="S46" s="28"/>
      <c r="T46" s="33"/>
      <c r="U46" s="10"/>
      <c r="V46" s="18" t="s">
        <v>45</v>
      </c>
      <c r="W46" s="22">
        <f>IF(V46=X45,Y45)+IF(V46=X47,Y47)</f>
        <v>5</v>
      </c>
      <c r="X46" s="23"/>
      <c r="Z46" s="15"/>
      <c r="AA46" s="58"/>
      <c r="AD46" s="6" t="str">
        <f>D47</f>
        <v>MCNEESE</v>
      </c>
      <c r="AE46" s="6" t="str">
        <f>F46</f>
        <v>VANDY</v>
      </c>
      <c r="AG46" s="7" t="str">
        <f>R44</f>
        <v>MICHIGAN</v>
      </c>
      <c r="AI46" s="7"/>
      <c r="AJ46" s="7"/>
      <c r="AK46" s="7"/>
    </row>
    <row r="47" spans="1:37" x14ac:dyDescent="0.2">
      <c r="A47" s="55"/>
      <c r="B47" s="15"/>
      <c r="C47" s="16">
        <v>12</v>
      </c>
      <c r="D47" s="17" t="s">
        <v>46</v>
      </c>
      <c r="E47" s="24"/>
      <c r="F47" s="25"/>
      <c r="G47" s="26"/>
      <c r="H47" s="10"/>
      <c r="I47" s="26"/>
      <c r="J47" s="10"/>
      <c r="K47" s="26"/>
      <c r="L47" s="10"/>
      <c r="M47" s="26"/>
      <c r="N47" s="10"/>
      <c r="O47" s="10"/>
      <c r="P47" s="33"/>
      <c r="Q47" s="10"/>
      <c r="R47" s="33"/>
      <c r="S47" s="10"/>
      <c r="T47" s="33"/>
      <c r="U47" s="10"/>
      <c r="V47" s="27"/>
      <c r="W47" s="28"/>
      <c r="X47" s="29" t="s">
        <v>47</v>
      </c>
      <c r="Y47" s="16">
        <v>12</v>
      </c>
      <c r="Z47" s="15"/>
      <c r="AA47" s="58"/>
      <c r="AD47" s="7" t="str">
        <f>X45</f>
        <v>TEXAS TECH</v>
      </c>
      <c r="AE47" s="6" t="str">
        <f>F50</f>
        <v>NEBRASKA</v>
      </c>
      <c r="AG47" s="7" t="str">
        <f>R60</f>
        <v>IOWA ST</v>
      </c>
      <c r="AI47" s="7"/>
      <c r="AJ47" s="7"/>
      <c r="AK47" s="7"/>
    </row>
    <row r="48" spans="1:37" x14ac:dyDescent="0.2">
      <c r="A48" s="55"/>
      <c r="B48" s="15"/>
      <c r="D48" s="30"/>
      <c r="E48" s="28"/>
      <c r="F48" s="25"/>
      <c r="G48" s="20">
        <f>IF(H48=F46,E46)+IF(H48=F50,E50)</f>
        <v>4</v>
      </c>
      <c r="H48" s="17" t="s">
        <v>48</v>
      </c>
      <c r="I48" s="26"/>
      <c r="J48" s="10"/>
      <c r="K48" s="26"/>
      <c r="L48" s="10"/>
      <c r="M48" s="26"/>
      <c r="N48" s="10"/>
      <c r="O48" s="10"/>
      <c r="P48" s="33"/>
      <c r="Q48" s="10"/>
      <c r="R48" s="33"/>
      <c r="S48" s="50"/>
      <c r="T48" s="18" t="s">
        <v>45</v>
      </c>
      <c r="U48" s="31">
        <f>IF(T48=V46,W46)+IF(T48=V50,W50)</f>
        <v>5</v>
      </c>
      <c r="V48" s="27"/>
      <c r="W48" s="28"/>
      <c r="X48" s="32"/>
      <c r="Z48" s="15"/>
      <c r="AA48" s="58"/>
      <c r="AD48" s="7" t="str">
        <f>X47</f>
        <v>AKRON</v>
      </c>
      <c r="AE48" s="7" t="str">
        <f>V46</f>
        <v>TEXAS TECH</v>
      </c>
      <c r="AI48" s="7"/>
      <c r="AJ48" s="7"/>
      <c r="AK48" s="7"/>
    </row>
    <row r="49" spans="1:32" x14ac:dyDescent="0.2">
      <c r="A49" s="55"/>
      <c r="B49" s="15"/>
      <c r="C49" s="16">
        <v>4</v>
      </c>
      <c r="D49" s="17" t="s">
        <v>48</v>
      </c>
      <c r="E49" s="10"/>
      <c r="F49" s="11"/>
      <c r="G49" s="24"/>
      <c r="H49" s="28"/>
      <c r="I49" s="10"/>
      <c r="J49" s="10"/>
      <c r="K49" s="26"/>
      <c r="L49" s="10"/>
      <c r="M49" s="26"/>
      <c r="N49" s="10"/>
      <c r="O49" s="10"/>
      <c r="P49" s="33"/>
      <c r="Q49" s="10"/>
      <c r="R49" s="33"/>
      <c r="S49" s="10"/>
      <c r="T49" s="34"/>
      <c r="U49" s="28"/>
      <c r="V49" s="33"/>
      <c r="W49" s="10"/>
      <c r="X49" s="18" t="s">
        <v>49</v>
      </c>
      <c r="Y49" s="16">
        <v>4</v>
      </c>
      <c r="Z49" s="15"/>
      <c r="AA49" s="58"/>
      <c r="AD49" s="6" t="str">
        <f>D49</f>
        <v>NEBRASKA</v>
      </c>
      <c r="AE49" s="7" t="str">
        <f>V50</f>
        <v>ALABAMA</v>
      </c>
    </row>
    <row r="50" spans="1:32" ht="12.75" customHeight="1" x14ac:dyDescent="0.2">
      <c r="A50" s="55"/>
      <c r="B50" s="15"/>
      <c r="D50" s="19"/>
      <c r="E50" s="20">
        <f>IF(F50=D49,C49)+IF(F50=D51,C51)</f>
        <v>4</v>
      </c>
      <c r="F50" s="17" t="s">
        <v>48</v>
      </c>
      <c r="G50" s="24"/>
      <c r="H50" s="66" t="s">
        <v>50</v>
      </c>
      <c r="I50" s="10"/>
      <c r="J50" s="10"/>
      <c r="K50" s="26"/>
      <c r="L50" s="10"/>
      <c r="M50" s="26"/>
      <c r="N50" s="10"/>
      <c r="O50" s="10"/>
      <c r="P50" s="33"/>
      <c r="Q50" s="10"/>
      <c r="R50" s="33"/>
      <c r="S50" s="10"/>
      <c r="T50" s="67" t="s">
        <v>70</v>
      </c>
      <c r="U50" s="28"/>
      <c r="V50" s="18" t="s">
        <v>49</v>
      </c>
      <c r="W50" s="22">
        <f>IF(V50=X49,Y49)+IF(V50=X51,Y51)</f>
        <v>4</v>
      </c>
      <c r="X50" s="23"/>
      <c r="Z50" s="15"/>
      <c r="AA50" s="58"/>
      <c r="AD50" s="6" t="str">
        <f>D51</f>
        <v>TROY</v>
      </c>
    </row>
    <row r="51" spans="1:32" x14ac:dyDescent="0.2">
      <c r="A51" s="56"/>
      <c r="B51" s="15"/>
      <c r="C51" s="16">
        <v>13</v>
      </c>
      <c r="D51" s="17" t="s">
        <v>52</v>
      </c>
      <c r="E51" s="24"/>
      <c r="F51" s="25"/>
      <c r="G51" s="10"/>
      <c r="H51" s="66"/>
      <c r="I51" s="10"/>
      <c r="J51" s="10"/>
      <c r="K51" s="20">
        <f>IF(L51=J44,I44)+IF(L51=J60,I60)</f>
        <v>3</v>
      </c>
      <c r="L51" s="17" t="s">
        <v>58</v>
      </c>
      <c r="M51" s="26"/>
      <c r="N51" s="10"/>
      <c r="O51" s="50"/>
      <c r="P51" s="18" t="s">
        <v>67</v>
      </c>
      <c r="Q51" s="31">
        <f>IF(P51=R44,S44)+IF(P51=R60,S60)</f>
        <v>2</v>
      </c>
      <c r="R51" s="33"/>
      <c r="S51" s="10"/>
      <c r="T51" s="67"/>
      <c r="U51" s="10"/>
      <c r="V51" s="34"/>
      <c r="W51" s="28"/>
      <c r="X51" s="29" t="s">
        <v>53</v>
      </c>
      <c r="Y51" s="16">
        <v>13</v>
      </c>
      <c r="Z51" s="15"/>
      <c r="AA51" s="59"/>
      <c r="AD51" s="7" t="str">
        <f>X49</f>
        <v>ALABAMA</v>
      </c>
    </row>
    <row r="52" spans="1:32" x14ac:dyDescent="0.2">
      <c r="A52" s="35"/>
      <c r="B52" s="15"/>
      <c r="D52" s="30"/>
      <c r="E52" s="28"/>
      <c r="F52" s="25"/>
      <c r="H52" s="66"/>
      <c r="I52" s="39"/>
      <c r="J52" s="40"/>
      <c r="K52" s="24"/>
      <c r="L52" s="28"/>
      <c r="M52" s="10"/>
      <c r="N52" s="10"/>
      <c r="O52" s="10"/>
      <c r="P52" s="34"/>
      <c r="Q52" s="28"/>
      <c r="R52" s="42"/>
      <c r="S52" s="39"/>
      <c r="T52" s="67"/>
      <c r="U52" s="39"/>
      <c r="V52" s="34"/>
      <c r="W52" s="28"/>
      <c r="X52" s="32"/>
      <c r="Z52" s="15"/>
      <c r="AA52" s="35"/>
      <c r="AD52" s="7" t="str">
        <f>X51</f>
        <v>HOFSTRA</v>
      </c>
    </row>
    <row r="53" spans="1:32" ht="12.75" customHeight="1" x14ac:dyDescent="0.2">
      <c r="A53" s="54">
        <v>46100</v>
      </c>
      <c r="B53" s="15"/>
      <c r="C53" s="16">
        <v>6</v>
      </c>
      <c r="D53" s="17" t="s">
        <v>54</v>
      </c>
      <c r="E53" s="10"/>
      <c r="F53" s="11"/>
      <c r="G53" s="10"/>
      <c r="H53" s="66"/>
      <c r="I53" s="10"/>
      <c r="J53" s="10"/>
      <c r="K53" s="24"/>
      <c r="L53" s="28"/>
      <c r="M53" s="10"/>
      <c r="N53" s="10"/>
      <c r="O53" s="10"/>
      <c r="P53" s="34"/>
      <c r="Q53" s="28"/>
      <c r="R53" s="33"/>
      <c r="S53" s="10"/>
      <c r="T53" s="67"/>
      <c r="U53" s="10"/>
      <c r="V53" s="13"/>
      <c r="W53" s="10"/>
      <c r="X53" s="18" t="s">
        <v>55</v>
      </c>
      <c r="Y53" s="16">
        <v>6</v>
      </c>
      <c r="Z53" s="15"/>
      <c r="AA53" s="57">
        <v>46101</v>
      </c>
      <c r="AD53" s="6" t="str">
        <f>D53</f>
        <v>N CAROLINA</v>
      </c>
    </row>
    <row r="54" spans="1:32" ht="12.75" customHeight="1" x14ac:dyDescent="0.2">
      <c r="A54" s="55"/>
      <c r="B54" s="15"/>
      <c r="D54" s="19"/>
      <c r="E54" s="20">
        <f>IF(F54=D53,C53)+IF(F54=D55,C55)</f>
        <v>11</v>
      </c>
      <c r="F54" s="17" t="s">
        <v>56</v>
      </c>
      <c r="G54" s="10"/>
      <c r="H54" s="66"/>
      <c r="I54" s="10"/>
      <c r="J54" s="10"/>
      <c r="K54" s="26"/>
      <c r="L54" s="10"/>
      <c r="M54" s="10"/>
      <c r="N54" s="10"/>
      <c r="O54" s="10"/>
      <c r="P54" s="13"/>
      <c r="Q54" s="10"/>
      <c r="R54" s="33"/>
      <c r="S54" s="10"/>
      <c r="T54" s="67"/>
      <c r="U54" s="10"/>
      <c r="V54" s="18" t="s">
        <v>55</v>
      </c>
      <c r="W54" s="22">
        <f>IF(V54=X53,Y53)+IF(V54=X55,Y55)</f>
        <v>6</v>
      </c>
      <c r="X54" s="23"/>
      <c r="Z54" s="15"/>
      <c r="AA54" s="58"/>
      <c r="AD54" s="6" t="str">
        <f>D55</f>
        <v>VCU</v>
      </c>
      <c r="AE54" s="6" t="str">
        <f>F54</f>
        <v>VCU</v>
      </c>
    </row>
    <row r="55" spans="1:32" x14ac:dyDescent="0.2">
      <c r="A55" s="55"/>
      <c r="B55" s="15"/>
      <c r="C55" s="16">
        <v>11</v>
      </c>
      <c r="D55" s="17" t="s">
        <v>56</v>
      </c>
      <c r="E55" s="24"/>
      <c r="F55" s="25"/>
      <c r="G55" s="26"/>
      <c r="H55" s="10"/>
      <c r="I55" s="10"/>
      <c r="J55" s="10"/>
      <c r="K55" s="26"/>
      <c r="L55" s="10"/>
      <c r="M55" s="10"/>
      <c r="N55" s="10"/>
      <c r="O55" s="10"/>
      <c r="P55" s="13"/>
      <c r="Q55" s="10"/>
      <c r="R55" s="33"/>
      <c r="S55" s="10"/>
      <c r="T55" s="13"/>
      <c r="U55" s="10"/>
      <c r="V55" s="27"/>
      <c r="W55" s="28"/>
      <c r="X55" s="29" t="s">
        <v>57</v>
      </c>
      <c r="Y55" s="16">
        <v>11</v>
      </c>
      <c r="Z55" s="15"/>
      <c r="AA55" s="58"/>
      <c r="AD55" s="7" t="str">
        <f>X53</f>
        <v>TENNESSEE</v>
      </c>
      <c r="AE55" s="6" t="str">
        <f>F58</f>
        <v>ILLINOIS</v>
      </c>
    </row>
    <row r="56" spans="1:32" x14ac:dyDescent="0.2">
      <c r="A56" s="55"/>
      <c r="B56" s="15"/>
      <c r="D56" s="30"/>
      <c r="E56" s="28"/>
      <c r="F56" s="25"/>
      <c r="G56" s="20">
        <f>IF(H56=F54,E54)+IF(H56=F58,E58)</f>
        <v>3</v>
      </c>
      <c r="H56" s="17" t="s">
        <v>58</v>
      </c>
      <c r="I56" s="10"/>
      <c r="J56" s="10"/>
      <c r="K56" s="26"/>
      <c r="L56" s="10"/>
      <c r="M56" s="10"/>
      <c r="N56" s="10"/>
      <c r="O56" s="10"/>
      <c r="P56" s="13"/>
      <c r="Q56" s="10"/>
      <c r="R56" s="33"/>
      <c r="S56" s="10"/>
      <c r="T56" s="18" t="s">
        <v>55</v>
      </c>
      <c r="U56" s="31">
        <f>IF(T56=V54,W54)+IF(T56=V58,W58)</f>
        <v>6</v>
      </c>
      <c r="V56" s="27"/>
      <c r="W56" s="28"/>
      <c r="X56" s="32"/>
      <c r="Z56" s="15"/>
      <c r="AA56" s="58"/>
      <c r="AD56" s="7" t="str">
        <f>X55</f>
        <v>SMU/MIA (OH)</v>
      </c>
      <c r="AE56" s="7" t="str">
        <f>V54</f>
        <v>TENNESSEE</v>
      </c>
      <c r="AF56" s="6" t="str">
        <f>H56</f>
        <v>ILLINOIS</v>
      </c>
    </row>
    <row r="57" spans="1:32" x14ac:dyDescent="0.2">
      <c r="A57" s="55"/>
      <c r="B57" s="15"/>
      <c r="C57" s="16">
        <v>3</v>
      </c>
      <c r="D57" s="17" t="s">
        <v>58</v>
      </c>
      <c r="E57" s="10"/>
      <c r="F57" s="11"/>
      <c r="G57" s="24"/>
      <c r="H57" s="28"/>
      <c r="I57" s="26"/>
      <c r="J57" s="10"/>
      <c r="K57" s="26"/>
      <c r="L57" s="10"/>
      <c r="M57" s="10"/>
      <c r="N57" s="10"/>
      <c r="O57" s="10"/>
      <c r="P57" s="13"/>
      <c r="Q57" s="10"/>
      <c r="R57" s="33"/>
      <c r="S57" s="10"/>
      <c r="T57" s="27"/>
      <c r="U57" s="28"/>
      <c r="V57" s="33"/>
      <c r="W57" s="10"/>
      <c r="X57" s="18" t="s">
        <v>59</v>
      </c>
      <c r="Y57" s="16">
        <v>3</v>
      </c>
      <c r="Z57" s="15"/>
      <c r="AA57" s="58"/>
      <c r="AD57" s="6" t="str">
        <f>D57</f>
        <v>ILLINOIS</v>
      </c>
      <c r="AE57" s="7" t="str">
        <f>V58</f>
        <v>VIRGINIA</v>
      </c>
      <c r="AF57" s="6" t="str">
        <f>H64</f>
        <v>HOUSTON</v>
      </c>
    </row>
    <row r="58" spans="1:32" x14ac:dyDescent="0.2">
      <c r="A58" s="55"/>
      <c r="B58" s="15"/>
      <c r="D58" s="19"/>
      <c r="E58" s="20">
        <f>IF(F58=D57,C57)+IF(F58=D59,C59)</f>
        <v>3</v>
      </c>
      <c r="F58" s="17" t="s">
        <v>58</v>
      </c>
      <c r="G58" s="24"/>
      <c r="H58" s="43"/>
      <c r="I58" s="26"/>
      <c r="J58" s="10"/>
      <c r="K58" s="26"/>
      <c r="L58" s="10"/>
      <c r="M58" s="10"/>
      <c r="N58" s="10"/>
      <c r="O58" s="10"/>
      <c r="P58" s="13"/>
      <c r="Q58" s="10"/>
      <c r="R58" s="33"/>
      <c r="S58" s="10"/>
      <c r="T58" s="44"/>
      <c r="U58" s="28"/>
      <c r="V58" s="18" t="s">
        <v>59</v>
      </c>
      <c r="W58" s="22">
        <f>IF(V58=X57,Y57)+IF(V58=X59,Y59)</f>
        <v>3</v>
      </c>
      <c r="X58" s="23"/>
      <c r="Z58" s="15"/>
      <c r="AA58" s="58"/>
      <c r="AD58" s="6" t="str">
        <f>D59</f>
        <v>PENN</v>
      </c>
      <c r="AF58" s="7" t="str">
        <f>T56</f>
        <v>TENNESSEE</v>
      </c>
    </row>
    <row r="59" spans="1:32" x14ac:dyDescent="0.2">
      <c r="A59" s="56"/>
      <c r="B59" s="15"/>
      <c r="C59" s="16">
        <v>14</v>
      </c>
      <c r="D59" s="17" t="s">
        <v>60</v>
      </c>
      <c r="E59" s="24"/>
      <c r="F59" s="25"/>
      <c r="G59" s="10"/>
      <c r="H59" s="10"/>
      <c r="I59" s="26"/>
      <c r="J59" s="10"/>
      <c r="K59" s="26"/>
      <c r="L59" s="10"/>
      <c r="M59" s="10"/>
      <c r="N59" s="10"/>
      <c r="O59" s="10"/>
      <c r="P59" s="13"/>
      <c r="Q59" s="10"/>
      <c r="R59" s="33"/>
      <c r="S59" s="10"/>
      <c r="T59" s="33"/>
      <c r="U59" s="10"/>
      <c r="V59" s="34"/>
      <c r="W59" s="28"/>
      <c r="X59" s="29" t="s">
        <v>61</v>
      </c>
      <c r="Y59" s="16">
        <v>14</v>
      </c>
      <c r="Z59" s="15"/>
      <c r="AA59" s="59"/>
      <c r="AD59" s="7" t="str">
        <f>X57</f>
        <v>VIRGINIA</v>
      </c>
      <c r="AF59" s="7" t="str">
        <f>T64</f>
        <v>IOWA ST</v>
      </c>
    </row>
    <row r="60" spans="1:32" x14ac:dyDescent="0.2">
      <c r="A60" s="35"/>
      <c r="B60" s="15"/>
      <c r="D60" s="30"/>
      <c r="E60" s="28"/>
      <c r="F60" s="25"/>
      <c r="G60" s="10"/>
      <c r="H60" s="10"/>
      <c r="I60" s="20">
        <f>IF(J60=H56,G56)+IF(J60=H64,G64)</f>
        <v>3</v>
      </c>
      <c r="J60" s="17" t="s">
        <v>58</v>
      </c>
      <c r="K60" s="26"/>
      <c r="L60" s="10"/>
      <c r="M60" s="10"/>
      <c r="N60" s="10"/>
      <c r="O60" s="10"/>
      <c r="P60" s="13"/>
      <c r="Q60" s="10"/>
      <c r="R60" s="18" t="s">
        <v>67</v>
      </c>
      <c r="S60" s="31">
        <f>IF(R60=T56,U56)+IF(R60=T64,U64)</f>
        <v>2</v>
      </c>
      <c r="T60" s="33"/>
      <c r="U60" s="10"/>
      <c r="V60" s="34"/>
      <c r="W60" s="28"/>
      <c r="X60" s="32"/>
      <c r="Z60" s="15"/>
      <c r="AA60" s="51"/>
      <c r="AD60" s="7" t="str">
        <f>X59</f>
        <v>WRIGHT ST</v>
      </c>
    </row>
    <row r="61" spans="1:32" ht="12.75" customHeight="1" x14ac:dyDescent="0.2">
      <c r="A61" s="54">
        <v>46100</v>
      </c>
      <c r="B61" s="15"/>
      <c r="C61" s="16">
        <v>7</v>
      </c>
      <c r="D61" s="17" t="s">
        <v>62</v>
      </c>
      <c r="E61" s="10"/>
      <c r="F61" s="11"/>
      <c r="G61" s="10"/>
      <c r="H61" s="10"/>
      <c r="I61" s="24"/>
      <c r="J61" s="28"/>
      <c r="K61" s="10"/>
      <c r="L61" s="10"/>
      <c r="M61" s="10"/>
      <c r="N61" s="10"/>
      <c r="O61" s="10"/>
      <c r="P61" s="13"/>
      <c r="Q61" s="10"/>
      <c r="R61" s="34"/>
      <c r="S61" s="28"/>
      <c r="T61" s="33"/>
      <c r="U61" s="10"/>
      <c r="V61" s="13"/>
      <c r="W61" s="10"/>
      <c r="X61" s="18" t="s">
        <v>63</v>
      </c>
      <c r="Y61" s="16">
        <v>7</v>
      </c>
      <c r="Z61" s="15"/>
      <c r="AA61" s="57">
        <v>46101</v>
      </c>
      <c r="AD61" s="6" t="str">
        <f>D61</f>
        <v>ST MARYS</v>
      </c>
    </row>
    <row r="62" spans="1:32" x14ac:dyDescent="0.2">
      <c r="A62" s="55"/>
      <c r="B62" s="15"/>
      <c r="D62" s="19"/>
      <c r="E62" s="20">
        <f>IF(F62=D61,C61)+IF(F62=D63,C63)</f>
        <v>10</v>
      </c>
      <c r="F62" s="17" t="s">
        <v>64</v>
      </c>
      <c r="G62" s="10"/>
      <c r="H62" s="10"/>
      <c r="I62" s="24"/>
      <c r="J62" s="28"/>
      <c r="K62" s="10"/>
      <c r="L62" s="10"/>
      <c r="M62" s="10"/>
      <c r="N62" s="10"/>
      <c r="O62" s="10"/>
      <c r="P62" s="13"/>
      <c r="Q62" s="10"/>
      <c r="R62" s="34"/>
      <c r="S62" s="28"/>
      <c r="T62" s="33"/>
      <c r="U62" s="10"/>
      <c r="V62" s="29" t="s">
        <v>65</v>
      </c>
      <c r="W62" s="22">
        <f>IF(V62=X61,Y61)+IF(V62=X63,Y63)</f>
        <v>10</v>
      </c>
      <c r="X62" s="23"/>
      <c r="Z62" s="15"/>
      <c r="AA62" s="58"/>
      <c r="AD62" s="6" t="str">
        <f>D63</f>
        <v>TEXAS AM</v>
      </c>
      <c r="AE62" s="6" t="str">
        <f>F62</f>
        <v>TEXAS AM</v>
      </c>
    </row>
    <row r="63" spans="1:32" x14ac:dyDescent="0.2">
      <c r="A63" s="55"/>
      <c r="B63" s="15"/>
      <c r="C63" s="16">
        <v>10</v>
      </c>
      <c r="D63" s="17" t="s">
        <v>64</v>
      </c>
      <c r="E63" s="24"/>
      <c r="F63" s="25"/>
      <c r="G63" s="26"/>
      <c r="H63" s="10"/>
      <c r="I63" s="26"/>
      <c r="J63" s="10"/>
      <c r="K63" s="10"/>
      <c r="L63" s="10"/>
      <c r="M63" s="10"/>
      <c r="N63" s="10"/>
      <c r="O63" s="10"/>
      <c r="P63" s="13"/>
      <c r="Q63" s="10"/>
      <c r="R63" s="13"/>
      <c r="S63" s="10"/>
      <c r="T63" s="33"/>
      <c r="U63" s="10"/>
      <c r="V63" s="27"/>
      <c r="W63" s="28"/>
      <c r="X63" s="29" t="s">
        <v>65</v>
      </c>
      <c r="Y63" s="16">
        <v>10</v>
      </c>
      <c r="Z63" s="15"/>
      <c r="AA63" s="58"/>
      <c r="AD63" s="7" t="str">
        <f>X61</f>
        <v>KENTUCKY</v>
      </c>
      <c r="AE63" s="6" t="str">
        <f>F66</f>
        <v>HOUSTON</v>
      </c>
    </row>
    <row r="64" spans="1:32" x14ac:dyDescent="0.2">
      <c r="A64" s="55"/>
      <c r="B64" s="15"/>
      <c r="D64" s="30"/>
      <c r="E64" s="28"/>
      <c r="F64" s="25"/>
      <c r="G64" s="20">
        <f>IF(H64=F62,E62)+IF(H64=F66,E66)</f>
        <v>2</v>
      </c>
      <c r="H64" s="17" t="s">
        <v>66</v>
      </c>
      <c r="I64" s="26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8" t="s">
        <v>67</v>
      </c>
      <c r="U64" s="31">
        <f>IF(T64=V62,W62)+IF(T64=V66,W66)</f>
        <v>2</v>
      </c>
      <c r="V64" s="27"/>
      <c r="W64" s="28"/>
      <c r="X64" s="32"/>
      <c r="Z64" s="15"/>
      <c r="AA64" s="58"/>
      <c r="AD64" s="7" t="str">
        <f>X63</f>
        <v>SANTA CLARA</v>
      </c>
      <c r="AE64" s="7" t="str">
        <f>V62</f>
        <v>SANTA CLARA</v>
      </c>
    </row>
    <row r="65" spans="1:31" x14ac:dyDescent="0.2">
      <c r="A65" s="55"/>
      <c r="B65" s="15"/>
      <c r="C65" s="16">
        <v>2</v>
      </c>
      <c r="D65" s="17" t="s">
        <v>66</v>
      </c>
      <c r="E65" s="10"/>
      <c r="F65" s="11"/>
      <c r="G65" s="24"/>
      <c r="H65" s="28"/>
      <c r="M65" s="10"/>
      <c r="N65" s="10"/>
      <c r="O65" s="10"/>
      <c r="T65" s="34"/>
      <c r="U65" s="28"/>
      <c r="V65" s="33"/>
      <c r="W65" s="10"/>
      <c r="X65" s="18" t="s">
        <v>67</v>
      </c>
      <c r="Y65" s="16">
        <v>2</v>
      </c>
      <c r="Z65" s="15"/>
      <c r="AA65" s="58"/>
      <c r="AD65" s="6" t="str">
        <f>D65</f>
        <v>HOUSTON</v>
      </c>
      <c r="AE65" s="7" t="str">
        <f>V66</f>
        <v>IOWA ST</v>
      </c>
    </row>
    <row r="66" spans="1:31" x14ac:dyDescent="0.2">
      <c r="A66" s="55"/>
      <c r="B66" s="15"/>
      <c r="D66" s="19"/>
      <c r="E66" s="20">
        <f>IF(F66=D65,C65)+IF(F66=D67,C67)</f>
        <v>2</v>
      </c>
      <c r="F66" s="17" t="s">
        <v>66</v>
      </c>
      <c r="G66" s="24"/>
      <c r="H66" s="28"/>
      <c r="M66" s="10"/>
      <c r="N66" s="10"/>
      <c r="O66" s="10"/>
      <c r="T66" s="34"/>
      <c r="U66" s="28"/>
      <c r="V66" s="18" t="s">
        <v>67</v>
      </c>
      <c r="W66" s="22">
        <f>IF(V66=X65,Y65)+IF(V66=X67,Y67)</f>
        <v>2</v>
      </c>
      <c r="X66" s="23"/>
      <c r="Z66" s="15"/>
      <c r="AA66" s="58"/>
      <c r="AD66" s="6" t="str">
        <f>D67</f>
        <v>IDAHO</v>
      </c>
    </row>
    <row r="67" spans="1:31" x14ac:dyDescent="0.2">
      <c r="A67" s="56"/>
      <c r="B67" s="15"/>
      <c r="C67" s="16">
        <v>15</v>
      </c>
      <c r="D67" s="17" t="s">
        <v>68</v>
      </c>
      <c r="E67" s="24"/>
      <c r="F67" s="25"/>
      <c r="G67" s="10"/>
      <c r="H67" s="10"/>
      <c r="M67" s="10"/>
      <c r="N67" s="10"/>
      <c r="O67" s="10"/>
      <c r="T67" s="13"/>
      <c r="U67" s="10"/>
      <c r="V67" s="34"/>
      <c r="W67" s="28"/>
      <c r="X67" s="29" t="s">
        <v>69</v>
      </c>
      <c r="Y67" s="16">
        <v>15</v>
      </c>
      <c r="Z67" s="15"/>
      <c r="AA67" s="59"/>
      <c r="AD67" s="7" t="str">
        <f>X65</f>
        <v>IOWA ST</v>
      </c>
    </row>
    <row r="68" spans="1:31" x14ac:dyDescent="0.2">
      <c r="A68" s="6"/>
      <c r="D68" s="8"/>
      <c r="E68" s="10"/>
      <c r="F68" s="11"/>
      <c r="G68" s="10"/>
      <c r="H68" s="10"/>
      <c r="I68" s="10"/>
      <c r="J68" s="10"/>
      <c r="K68" s="10"/>
      <c r="L68" s="10"/>
      <c r="M68" s="10"/>
      <c r="N68" s="10"/>
      <c r="O68" s="10"/>
      <c r="P68" s="13"/>
      <c r="Q68" s="10"/>
      <c r="R68" s="13"/>
      <c r="S68" s="10"/>
      <c r="T68" s="13"/>
      <c r="U68" s="10"/>
      <c r="V68" s="13"/>
      <c r="W68" s="10"/>
      <c r="X68" s="8"/>
      <c r="AD68" s="7" t="str">
        <f>X67</f>
        <v>TENNESSEE ST</v>
      </c>
    </row>
    <row r="69" spans="1:31" x14ac:dyDescent="0.2">
      <c r="F69" s="11"/>
      <c r="H69" s="10"/>
      <c r="J69" s="10"/>
      <c r="R69" s="13"/>
      <c r="T69" s="13"/>
      <c r="V69" s="13"/>
    </row>
    <row r="70" spans="1:31" x14ac:dyDescent="0.2">
      <c r="F70" s="11"/>
      <c r="H70" s="10"/>
      <c r="J70" s="10"/>
      <c r="R70" s="13"/>
      <c r="T70" s="13"/>
      <c r="V70" s="13"/>
    </row>
    <row r="71" spans="1:31" x14ac:dyDescent="0.2">
      <c r="F71" s="11"/>
      <c r="H71" s="10"/>
      <c r="J71" s="10"/>
      <c r="R71" s="13"/>
      <c r="T71" s="13"/>
      <c r="V71" s="13"/>
    </row>
    <row r="72" spans="1:31" x14ac:dyDescent="0.2">
      <c r="F72" s="11"/>
      <c r="H72" s="10"/>
      <c r="J72" s="10"/>
      <c r="R72" s="13"/>
      <c r="T72" s="13"/>
      <c r="V72" s="13"/>
    </row>
    <row r="73" spans="1:31" x14ac:dyDescent="0.2">
      <c r="F73" s="11"/>
      <c r="H73" s="10"/>
      <c r="J73" s="10"/>
      <c r="R73" s="13"/>
      <c r="T73" s="13"/>
      <c r="V73" s="13"/>
    </row>
    <row r="74" spans="1:31" x14ac:dyDescent="0.2">
      <c r="F74" s="11"/>
      <c r="H74" s="10"/>
      <c r="J74" s="10"/>
      <c r="R74" s="13"/>
      <c r="T74" s="13"/>
      <c r="V74" s="13"/>
    </row>
    <row r="75" spans="1:31" x14ac:dyDescent="0.2">
      <c r="F75" s="11"/>
      <c r="H75" s="10"/>
      <c r="J75" s="10"/>
      <c r="R75" s="13"/>
      <c r="T75" s="13"/>
      <c r="V75" s="13"/>
    </row>
    <row r="76" spans="1:31" x14ac:dyDescent="0.2">
      <c r="F76" s="11"/>
      <c r="H76" s="10"/>
      <c r="J76" s="10"/>
      <c r="R76" s="13"/>
      <c r="T76" s="13"/>
      <c r="V76" s="13"/>
    </row>
    <row r="77" spans="1:31" x14ac:dyDescent="0.2">
      <c r="F77" s="11"/>
      <c r="H77" s="10"/>
      <c r="J77" s="10"/>
      <c r="R77" s="13"/>
      <c r="T77" s="13"/>
      <c r="V77" s="13"/>
    </row>
    <row r="78" spans="1:31" x14ac:dyDescent="0.2">
      <c r="F78" s="11"/>
      <c r="H78" s="10"/>
      <c r="J78" s="10"/>
      <c r="R78" s="13"/>
      <c r="T78" s="13"/>
      <c r="V78" s="13"/>
    </row>
    <row r="79" spans="1:31" x14ac:dyDescent="0.2">
      <c r="F79" s="11"/>
      <c r="H79" s="10"/>
      <c r="J79" s="10"/>
      <c r="R79" s="13"/>
      <c r="T79" s="13"/>
      <c r="V79" s="13"/>
    </row>
    <row r="80" spans="1:31" x14ac:dyDescent="0.2">
      <c r="F80" s="11"/>
      <c r="H80" s="10"/>
      <c r="J80" s="10"/>
      <c r="R80" s="13"/>
      <c r="T80" s="13"/>
      <c r="V80" s="13"/>
    </row>
    <row r="81" spans="6:22" x14ac:dyDescent="0.2">
      <c r="F81" s="11"/>
      <c r="H81" s="10"/>
      <c r="J81" s="10"/>
      <c r="R81" s="13"/>
      <c r="T81" s="13"/>
      <c r="V81" s="13"/>
    </row>
    <row r="82" spans="6:22" x14ac:dyDescent="0.2">
      <c r="F82" s="11"/>
      <c r="H82" s="10"/>
      <c r="J82" s="10"/>
      <c r="R82" s="13"/>
      <c r="T82" s="13"/>
      <c r="V82" s="13"/>
    </row>
    <row r="83" spans="6:22" x14ac:dyDescent="0.2">
      <c r="F83" s="11"/>
      <c r="H83" s="10"/>
      <c r="J83" s="10"/>
      <c r="R83" s="13"/>
      <c r="T83" s="13"/>
      <c r="V83" s="13"/>
    </row>
    <row r="84" spans="6:22" x14ac:dyDescent="0.2">
      <c r="F84" s="11"/>
      <c r="H84" s="10"/>
      <c r="J84" s="10"/>
      <c r="R84" s="13"/>
      <c r="T84" s="13"/>
      <c r="V84" s="13"/>
    </row>
    <row r="85" spans="6:22" x14ac:dyDescent="0.2">
      <c r="F85" s="11"/>
      <c r="H85" s="10"/>
      <c r="J85" s="10"/>
      <c r="R85" s="13"/>
      <c r="T85" s="13"/>
      <c r="V85" s="13"/>
    </row>
    <row r="86" spans="6:22" x14ac:dyDescent="0.2">
      <c r="F86" s="11"/>
      <c r="H86" s="10"/>
      <c r="J86" s="10"/>
      <c r="R86" s="13"/>
      <c r="T86" s="13"/>
      <c r="V86" s="13"/>
    </row>
    <row r="87" spans="6:22" x14ac:dyDescent="0.2">
      <c r="F87" s="11"/>
      <c r="H87" s="10"/>
      <c r="J87" s="10"/>
      <c r="R87" s="13"/>
      <c r="T87" s="13"/>
      <c r="V87" s="13"/>
    </row>
    <row r="88" spans="6:22" x14ac:dyDescent="0.2">
      <c r="F88" s="11"/>
      <c r="H88" s="10"/>
      <c r="J88" s="10"/>
      <c r="R88" s="13"/>
      <c r="T88" s="13"/>
      <c r="V88" s="13"/>
    </row>
    <row r="89" spans="6:22" x14ac:dyDescent="0.2">
      <c r="F89" s="11"/>
      <c r="H89" s="10"/>
      <c r="J89" s="10"/>
      <c r="R89" s="13"/>
      <c r="T89" s="13"/>
      <c r="V89" s="13"/>
    </row>
    <row r="90" spans="6:22" x14ac:dyDescent="0.2">
      <c r="F90" s="11"/>
      <c r="H90" s="10"/>
      <c r="J90" s="10"/>
      <c r="R90" s="13"/>
      <c r="T90" s="13"/>
      <c r="V90" s="13"/>
    </row>
    <row r="91" spans="6:22" x14ac:dyDescent="0.2">
      <c r="F91" s="11"/>
      <c r="H91" s="10"/>
      <c r="J91" s="10"/>
      <c r="R91" s="10"/>
      <c r="T91" s="10"/>
      <c r="V91" s="13"/>
    </row>
    <row r="92" spans="6:22" x14ac:dyDescent="0.2">
      <c r="F92" s="11"/>
      <c r="H92" s="10"/>
      <c r="J92" s="10"/>
      <c r="R92" s="10"/>
      <c r="T92" s="10"/>
      <c r="V92" s="13"/>
    </row>
    <row r="93" spans="6:22" x14ac:dyDescent="0.2">
      <c r="F93" s="11"/>
      <c r="H93" s="10"/>
      <c r="J93" s="10"/>
      <c r="R93" s="10"/>
      <c r="T93" s="10"/>
      <c r="V93" s="13"/>
    </row>
    <row r="94" spans="6:22" x14ac:dyDescent="0.2">
      <c r="F94" s="11"/>
      <c r="H94" s="10"/>
      <c r="J94" s="10"/>
      <c r="R94" s="10"/>
      <c r="T94" s="10"/>
      <c r="V94" s="13"/>
    </row>
    <row r="95" spans="6:22" x14ac:dyDescent="0.2">
      <c r="F95" s="11"/>
      <c r="H95" s="10"/>
      <c r="J95" s="10"/>
      <c r="R95" s="10"/>
      <c r="T95" s="10"/>
      <c r="V95" s="13"/>
    </row>
    <row r="96" spans="6:22" x14ac:dyDescent="0.2">
      <c r="F96" s="11"/>
      <c r="H96" s="10"/>
      <c r="J96" s="10"/>
      <c r="R96" s="10"/>
      <c r="T96" s="10"/>
      <c r="V96" s="13"/>
    </row>
    <row r="97" spans="6:22" x14ac:dyDescent="0.2">
      <c r="F97" s="11"/>
      <c r="H97" s="10"/>
      <c r="J97" s="10"/>
      <c r="R97" s="10"/>
      <c r="T97" s="10"/>
      <c r="V97" s="13"/>
    </row>
    <row r="98" spans="6:22" x14ac:dyDescent="0.2">
      <c r="F98" s="11"/>
      <c r="H98" s="10"/>
      <c r="J98" s="10"/>
      <c r="R98" s="10"/>
      <c r="T98" s="10"/>
      <c r="V98" s="13"/>
    </row>
    <row r="99" spans="6:22" x14ac:dyDescent="0.2">
      <c r="F99" s="11"/>
      <c r="H99" s="10"/>
      <c r="J99" s="10"/>
      <c r="R99" s="10"/>
      <c r="T99" s="10"/>
      <c r="V99" s="13"/>
    </row>
    <row r="100" spans="6:22" x14ac:dyDescent="0.2">
      <c r="F100" s="11"/>
      <c r="H100" s="10"/>
      <c r="J100" s="10"/>
      <c r="R100" s="10"/>
      <c r="T100" s="10"/>
      <c r="V100" s="13"/>
    </row>
    <row r="101" spans="6:22" x14ac:dyDescent="0.2">
      <c r="F101" s="11"/>
      <c r="H101" s="10"/>
      <c r="J101" s="10"/>
      <c r="R101" s="10"/>
      <c r="T101" s="10"/>
      <c r="V101" s="13"/>
    </row>
    <row r="102" spans="6:22" x14ac:dyDescent="0.2">
      <c r="F102" s="11"/>
      <c r="H102" s="10"/>
      <c r="J102" s="10"/>
      <c r="R102" s="10"/>
      <c r="T102" s="10"/>
      <c r="V102" s="13"/>
    </row>
    <row r="103" spans="6:22" x14ac:dyDescent="0.2">
      <c r="F103" s="11"/>
      <c r="H103" s="10"/>
      <c r="J103" s="10"/>
      <c r="R103" s="10"/>
      <c r="T103" s="10"/>
      <c r="V103" s="13"/>
    </row>
    <row r="104" spans="6:22" x14ac:dyDescent="0.2">
      <c r="F104" s="11"/>
      <c r="H104" s="10"/>
      <c r="J104" s="10"/>
      <c r="R104" s="10"/>
      <c r="T104" s="10"/>
      <c r="V104" s="13"/>
    </row>
    <row r="105" spans="6:22" x14ac:dyDescent="0.2">
      <c r="F105" s="11"/>
      <c r="H105" s="10"/>
      <c r="J105" s="10"/>
      <c r="R105" s="10"/>
      <c r="T105" s="10"/>
      <c r="V105" s="13"/>
    </row>
    <row r="106" spans="6:22" x14ac:dyDescent="0.2">
      <c r="F106" s="11"/>
      <c r="H106" s="10"/>
      <c r="J106" s="10"/>
      <c r="R106" s="10"/>
      <c r="T106" s="10"/>
      <c r="V106" s="13"/>
    </row>
    <row r="107" spans="6:22" x14ac:dyDescent="0.2">
      <c r="F107" s="11"/>
      <c r="H107" s="10"/>
      <c r="J107" s="10"/>
      <c r="R107" s="10"/>
      <c r="T107" s="10"/>
      <c r="V107" s="13"/>
    </row>
    <row r="108" spans="6:22" x14ac:dyDescent="0.2">
      <c r="F108" s="11"/>
      <c r="H108" s="10"/>
      <c r="J108" s="10"/>
      <c r="R108" s="10"/>
      <c r="T108" s="10"/>
      <c r="V108" s="13"/>
    </row>
    <row r="109" spans="6:22" x14ac:dyDescent="0.2">
      <c r="F109" s="11"/>
      <c r="H109" s="10"/>
      <c r="J109" s="10"/>
      <c r="R109" s="10"/>
      <c r="T109" s="10"/>
      <c r="V109" s="13"/>
    </row>
    <row r="110" spans="6:22" x14ac:dyDescent="0.2">
      <c r="F110" s="11"/>
      <c r="H110" s="10"/>
      <c r="J110" s="10"/>
      <c r="R110" s="10"/>
      <c r="T110" s="10"/>
      <c r="V110" s="13"/>
    </row>
  </sheetData>
  <dataConsolidate/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pageMargins left="0" right="0" top="0" bottom="0" header="0.5" footer="0.5"/>
  <pageSetup scale="6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Name 1</vt:lpstr>
      <vt:lpstr>Name 2</vt:lpstr>
      <vt:lpstr>'Name 1'!Print_Area</vt:lpstr>
      <vt:lpstr>'Name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Kirk Bradford</dc:creator>
  <cp:lastModifiedBy>McCade Pearson</cp:lastModifiedBy>
  <dcterms:created xsi:type="dcterms:W3CDTF">2026-03-16T02:08:18Z</dcterms:created>
  <dcterms:modified xsi:type="dcterms:W3CDTF">2026-03-19T03:20:14Z</dcterms:modified>
</cp:coreProperties>
</file>