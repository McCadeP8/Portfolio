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aada0342c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ake Consensus" sheetId="1" r:id="R5e6eba04a3484ec9"/>
    <x:sheet xmlns:r="http://schemas.openxmlformats.org/officeDocument/2006/relationships" name="Auction Consensus" sheetId="2" r:id="R554788cff73e4b4a"/>
    <x:sheet xmlns:r="http://schemas.openxmlformats.org/officeDocument/2006/relationships" name="Overall Summary" sheetId="3" r:id="Redf0c380bf12413e"/>
    <x:sheet xmlns:r="http://schemas.openxmlformats.org/officeDocument/2006/relationships" name="Source Grades" sheetId="4" r:id="Rde8cd799bffd47d8"/>
    <x:sheet xmlns:r="http://schemas.openxmlformats.org/officeDocument/2006/relationships" name="Methodology" sheetId="5" r:id="R754918d78326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7">
    <x:font>
      <x:sz val="11"/>
      <x:name val="Carlito"/>
    </x:font>
    <x:font>
      <x:b/>
      <x:sz val="22"/>
      <x:color rgb="FFFFFFFF"/>
      <x:name val="Carlito"/>
    </x:font>
    <x:font>
      <x:i/>
      <x:sz val="11"/>
      <x:color rgb="FF5F6B7A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i/>
      <x:sz val="11"/>
      <x:color rgb="FF6A5313"/>
      <x:name val="Carlito"/>
    </x:font>
    <x:font>
      <x:b/>
      <x:sz val="11"/>
      <x:name val="Carlito"/>
    </x:font>
  </x:fonts>
  <x:fills count="71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1F8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FFF6DA"/>
      </x:patternFill>
    </x:fill>
    <x:fill>
      <x:patternFill patternType="solid">
        <x:fgColor rgb="FF516B84"/>
      </x:patternFill>
    </x:fill>
    <x:fill>
      <x:patternFill patternType="solid">
        <x:fgColor rgb="FF63BE7B"/>
      </x:patternFill>
    </x:fill>
    <x:fill>
      <x:patternFill patternType="solid">
        <x:fgColor rgb="FF71C17C"/>
      </x:patternFill>
    </x:fill>
    <x:fill>
      <x:patternFill patternType="solid">
        <x:fgColor rgb="FF9ACA7D"/>
      </x:patternFill>
    </x:fill>
    <x:fill>
      <x:patternFill patternType="solid">
        <x:fgColor rgb="FFFCDF82"/>
      </x:patternFill>
    </x:fill>
    <x:fill>
      <x:patternFill patternType="solid">
        <x:fgColor rgb="FF94C97D"/>
      </x:patternFill>
    </x:fill>
    <x:fill>
      <x:patternFill patternType="solid">
        <x:fgColor rgb="FFB1CF7F"/>
      </x:patternFill>
    </x:fill>
    <x:fill>
      <x:patternFill patternType="solid">
        <x:fgColor rgb="FFCBD580"/>
      </x:patternFill>
    </x:fill>
    <x:fill>
      <x:patternFill patternType="solid">
        <x:fgColor rgb="FFA0CB7E"/>
      </x:patternFill>
    </x:fill>
    <x:fill>
      <x:patternFill patternType="solid">
        <x:fgColor rgb="FFA8CD7E"/>
      </x:patternFill>
    </x:fill>
    <x:fill>
      <x:patternFill patternType="solid">
        <x:fgColor rgb="FFB6D07F"/>
      </x:patternFill>
    </x:fill>
    <x:fill>
      <x:patternFill patternType="solid">
        <x:fgColor rgb="FFB5D07F"/>
      </x:patternFill>
    </x:fill>
    <x:fill>
      <x:patternFill patternType="solid">
        <x:fgColor rgb="FF86C67D"/>
      </x:patternFill>
    </x:fill>
    <x:fill>
      <x:patternFill patternType="solid">
        <x:fgColor rgb="FFA6CD7E"/>
      </x:patternFill>
    </x:fill>
    <x:fill>
      <x:patternFill patternType="solid">
        <x:fgColor rgb="FF78C37C"/>
      </x:patternFill>
    </x:fill>
    <x:fill>
      <x:patternFill patternType="solid">
        <x:fgColor rgb="FFA1CC7E"/>
      </x:patternFill>
    </x:fill>
    <x:fill>
      <x:patternFill patternType="solid">
        <x:fgColor rgb="FFFED37F"/>
      </x:patternFill>
    </x:fill>
    <x:fill>
      <x:patternFill patternType="solid">
        <x:fgColor rgb="FFB3CF7F"/>
      </x:patternFill>
    </x:fill>
    <x:fill>
      <x:patternFill patternType="solid">
        <x:fgColor rgb="FFE0D981"/>
      </x:patternFill>
    </x:fill>
    <x:fill>
      <x:patternFill patternType="solid">
        <x:fgColor rgb="FFA2CC7E"/>
      </x:patternFill>
    </x:fill>
    <x:fill>
      <x:patternFill patternType="solid">
        <x:fgColor rgb="FFFCAE78"/>
      </x:patternFill>
    </x:fill>
    <x:fill>
      <x:patternFill patternType="solid">
        <x:fgColor rgb="FF9DCB7E"/>
      </x:patternFill>
    </x:fill>
    <x:fill>
      <x:patternFill patternType="solid">
        <x:fgColor rgb="FFCAD480"/>
      </x:patternFill>
    </x:fill>
    <x:fill>
      <x:patternFill patternType="solid">
        <x:fgColor rgb="FFFB9E75"/>
      </x:patternFill>
    </x:fill>
    <x:fill>
      <x:patternFill patternType="solid">
        <x:fgColor rgb="FFD3D680"/>
      </x:patternFill>
    </x:fill>
    <x:fill>
      <x:patternFill patternType="solid">
        <x:fgColor rgb="FFFEE082"/>
      </x:patternFill>
    </x:fill>
    <x:fill>
      <x:patternFill patternType="solid">
        <x:fgColor rgb="FFE4DA81"/>
      </x:patternFill>
    </x:fill>
    <x:fill>
      <x:patternFill patternType="solid">
        <x:fgColor rgb="FFAFCF7E"/>
      </x:patternFill>
    </x:fill>
    <x:fill>
      <x:patternFill patternType="solid">
        <x:fgColor rgb="FFF7DE82"/>
      </x:patternFill>
    </x:fill>
    <x:fill>
      <x:patternFill patternType="solid">
        <x:fgColor rgb="FFFDBE7B"/>
      </x:patternFill>
    </x:fill>
    <x:fill>
      <x:patternFill patternType="solid">
        <x:fgColor rgb="FFF9DF82"/>
      </x:patternFill>
    </x:fill>
    <x:fill>
      <x:patternFill patternType="solid">
        <x:fgColor rgb="FFD2D680"/>
      </x:patternFill>
    </x:fill>
    <x:fill>
      <x:patternFill patternType="solid">
        <x:fgColor rgb="FFF3DD81"/>
      </x:patternFill>
    </x:fill>
    <x:fill>
      <x:patternFill patternType="solid">
        <x:fgColor rgb="FFFED780"/>
      </x:patternFill>
    </x:fill>
    <x:fill>
      <x:patternFill patternType="solid">
        <x:fgColor rgb="FFFFD880"/>
      </x:patternFill>
    </x:fill>
    <x:fill>
      <x:patternFill patternType="solid">
        <x:fgColor rgb="FFFED17F"/>
      </x:patternFill>
    </x:fill>
    <x:fill>
      <x:patternFill patternType="solid">
        <x:fgColor rgb="FFF8696B"/>
      </x:patternFill>
    </x:fill>
    <x:fill>
      <x:patternFill patternType="solid">
        <x:fgColor rgb="FFFCB079"/>
      </x:patternFill>
    </x:fill>
    <x:fill>
      <x:patternFill patternType="solid">
        <x:fgColor rgb="FFFEC87D"/>
      </x:patternFill>
    </x:fill>
    <x:fill>
      <x:patternFill patternType="solid">
        <x:fgColor rgb="FFFDBD7B"/>
      </x:patternFill>
    </x:fill>
    <x:fill>
      <x:patternFill patternType="solid">
        <x:fgColor rgb="FFFBA376"/>
      </x:patternFill>
    </x:fill>
    <x:fill>
      <x:patternFill patternType="solid">
        <x:fgColor rgb="FF92C87D"/>
      </x:patternFill>
    </x:fill>
    <x:fill>
      <x:patternFill patternType="solid">
        <x:fgColor rgb="FF6AC07B"/>
      </x:patternFill>
    </x:fill>
    <x:fill>
      <x:patternFill patternType="solid">
        <x:fgColor rgb="FF87C67D"/>
      </x:patternFill>
    </x:fill>
    <x:fill>
      <x:patternFill patternType="solid">
        <x:fgColor rgb="FFE5DA81"/>
      </x:patternFill>
    </x:fill>
    <x:fill>
      <x:patternFill patternType="solid">
        <x:fgColor rgb="FFAACD7E"/>
      </x:patternFill>
    </x:fill>
    <x:fill>
      <x:patternFill patternType="solid">
        <x:fgColor rgb="FFEFDD81"/>
      </x:patternFill>
    </x:fill>
    <x:fill>
      <x:patternFill patternType="solid">
        <x:fgColor rgb="FFB2CF7F"/>
      </x:patternFill>
    </x:fill>
    <x:fill>
      <x:patternFill patternType="solid">
        <x:fgColor rgb="FFD9D880"/>
      </x:patternFill>
    </x:fill>
    <x:fill>
      <x:patternFill patternType="solid">
        <x:fgColor rgb="FFCDD580"/>
      </x:patternFill>
    </x:fill>
    <x:fill>
      <x:patternFill patternType="solid">
        <x:fgColor rgb="FFC9D480"/>
      </x:patternFill>
    </x:fill>
    <x:fill>
      <x:patternFill patternType="solid">
        <x:fgColor rgb="FFDFD981"/>
      </x:patternFill>
    </x:fill>
    <x:fill>
      <x:patternFill patternType="solid">
        <x:fgColor rgb="FFE8DB81"/>
      </x:patternFill>
    </x:fill>
    <x:fill>
      <x:patternFill patternType="solid">
        <x:fgColor rgb="FFD7D780"/>
      </x:patternFill>
    </x:fill>
    <x:fill>
      <x:patternFill patternType="solid">
        <x:fgColor rgb="FFBDD27F"/>
      </x:patternFill>
    </x:fill>
    <x:fill>
      <x:patternFill patternType="solid">
        <x:fgColor rgb="FF9ECB7E"/>
      </x:patternFill>
    </x:fill>
    <x:fill>
      <x:patternFill patternType="solid">
        <x:fgColor rgb="FFE6DA81"/>
      </x:patternFill>
    </x:fill>
    <x:fill>
      <x:patternFill patternType="solid">
        <x:fgColor rgb="FFE7DB81"/>
      </x:patternFill>
    </x:fill>
    <x:fill>
      <x:patternFill patternType="solid">
        <x:fgColor rgb="FFF5DE82"/>
      </x:patternFill>
    </x:fill>
    <x:fill>
      <x:patternFill patternType="solid">
        <x:fgColor rgb="FFFDC17C"/>
      </x:patternFill>
    </x:fill>
    <x:fill>
      <x:patternFill patternType="solid">
        <x:fgColor rgb="FFFECC7E"/>
      </x:patternFill>
    </x:fill>
    <x:fill>
      <x:patternFill patternType="solid">
        <x:fgColor rgb="FFFED07F"/>
      </x:patternFill>
    </x:fill>
    <x:fill>
      <x:patternFill patternType="solid">
        <x:fgColor rgb="FFFFE082"/>
      </x:patternFill>
    </x:fill>
    <x:fill>
      <x:patternFill patternType="solid">
        <x:fgColor rgb="FFFECD7E"/>
      </x:patternFill>
    </x:fill>
  </x:fills>
  <x:borders count="9">
    <x:border/>
    <x:border>
      <x:left style="medium">
        <x:color rgb="FF93A4B5"/>
      </x:left>
      <x:top style="medium">
        <x:color rgb="FF93A4B5"/>
      </x:top>
    </x:border>
    <x:border>
      <x:top style="medium">
        <x:color rgb="FF93A4B5"/>
      </x:top>
    </x:border>
    <x:border>
      <x:right style="medium">
        <x:color rgb="FF93A4B5"/>
      </x:right>
      <x:top style="medium">
        <x:color rgb="FF93A4B5"/>
      </x:top>
    </x:border>
    <x:border>
      <x:left style="medium">
        <x:color rgb="FF93A4B5"/>
      </x:left>
    </x:border>
    <x:border>
      <x:right style="medium">
        <x:color rgb="FF93A4B5"/>
      </x:right>
    </x:border>
    <x:border>
      <x:left style="medium">
        <x:color rgb="FF93A4B5"/>
      </x:left>
      <x:bottom style="medium">
        <x:color rgb="FF93A4B5"/>
      </x:bottom>
    </x:border>
    <x:border>
      <x:bottom style="medium">
        <x:color rgb="FF93A4B5"/>
      </x:bottom>
    </x:border>
    <x:border>
      <x:right style="medium">
        <x:color rgb="FF93A4B5"/>
      </x:right>
      <x:bottom style="medium">
        <x:color rgb="FF93A4B5"/>
      </x:bottom>
    </x:border>
  </x:borders>
  <x:cellStyleXfs count="1">
    <x:xf numFmtId="0" fontId="0" fillId="0" borderId="0"/>
  </x:cellStyleXfs>
  <x:cellXfs count="2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3" borderId="0" xfId="0" applyNumberFormat="1" applyFont="1" applyFill="1" applyBorder="1"/>
    <x:xf numFmtId="0" fontId="0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6" borderId="0" xfId="0" applyNumberFormat="1" applyFont="1" applyFill="1" applyBorder="1"/>
    <x:xf numFmtId="0" fontId="0" fillId="27" borderId="0" xfId="0" applyNumberFormat="1" applyFont="1" applyFill="1" applyBorder="1"/>
    <x:xf numFmtId="0" fontId="0" fillId="28" borderId="0" xfId="0" applyNumberFormat="1" applyFont="1" applyFill="1" applyBorder="1"/>
    <x:xf numFmtId="0" fontId="0" fillId="29" borderId="0" xfId="0" applyNumberFormat="1" applyFont="1" applyFill="1" applyBorder="1"/>
    <x:xf numFmtId="0" fontId="0" fillId="30" borderId="0" xfId="0" applyNumberFormat="1" applyFont="1" applyFill="1" applyBorder="1"/>
    <x:xf numFmtId="0" fontId="0" fillId="31" borderId="0" xfId="0" applyNumberFormat="1" applyFont="1" applyFill="1" applyBorder="1"/>
    <x:xf numFmtId="0" fontId="0" fillId="32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0" fontId="0" fillId="36" borderId="0" xfId="0" applyNumberFormat="1" applyFont="1" applyFill="1" applyBorder="1"/>
    <x:xf numFmtId="0" fontId="0" fillId="37" borderId="0" xfId="0" applyNumberFormat="1" applyFont="1" applyFill="1" applyBorder="1"/>
    <x:xf numFmtId="0" fontId="0" fillId="38" borderId="0" xfId="0" applyNumberFormat="1" applyFont="1" applyFill="1" applyBorder="1"/>
    <x:xf numFmtId="0" fontId="0" fillId="39" borderId="0" xfId="0" applyNumberFormat="1" applyFont="1" applyFill="1" applyBorder="1"/>
    <x:xf numFmtId="0" fontId="0" fillId="40" borderId="0" xfId="0" applyNumberFormat="1" applyFont="1" applyFill="1" applyBorder="1"/>
    <x:xf numFmtId="0" fontId="0" fillId="41" borderId="0" xfId="0" applyNumberFormat="1" applyFont="1" applyFill="1" applyBorder="1"/>
    <x:xf numFmtId="0" fontId="0" fillId="42" borderId="0" xfId="0" applyNumberFormat="1" applyFont="1" applyFill="1" applyBorder="1"/>
    <x:xf numFmtId="0" fontId="0" fillId="43" borderId="0" xfId="0" applyNumberFormat="1" applyFont="1" applyFill="1" applyBorder="1"/>
    <x:xf numFmtId="0" fontId="0" fillId="44" borderId="0" xfId="0" applyNumberFormat="1" applyFont="1" applyFill="1" applyBorder="1"/>
    <x:xf numFmtId="0" fontId="0" fillId="45" borderId="0" xfId="0" applyNumberFormat="1" applyFont="1" applyFill="1" applyBorder="1"/>
    <x:xf numFmtId="0" fontId="0" fillId="46" borderId="0" xfId="0" applyNumberFormat="1" applyFont="1" applyFill="1" applyBorder="1"/>
    <x:xf numFmtId="0" fontId="0" fillId="47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 applyAlignment="1">
      <x:alignment horizontal="center"/>
    </x:xf>
    <x:xf numFmtId="0" fontId="0" fillId="34" borderId="0" xfId="0" applyNumberFormat="1" applyFont="1" applyFill="1" applyBorder="1" applyAlignment="1">
      <x:alignment horizontal="center"/>
    </x:xf>
    <x:xf numFmtId="0" fontId="0" fillId="38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 applyAlignment="1">
      <x:alignment horizontal="center"/>
    </x:xf>
    <x:xf numFmtId="0" fontId="0" fillId="45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 applyAlignment="1">
      <x:alignment horizontal="center"/>
    </x:xf>
    <x:xf numFmtId="0" fontId="0" fillId="32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 applyAlignment="1">
      <x:alignment horizontal="center"/>
    </x:xf>
    <x:xf numFmtId="0" fontId="0" fillId="42" borderId="0" xfId="0" applyNumberFormat="1" applyFont="1" applyFill="1" applyBorder="1" applyAlignment="1">
      <x:alignment horizontal="center"/>
    </x:xf>
    <x:xf numFmtId="0" fontId="0" fillId="46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 applyAlignment="1">
      <x:alignment horizontal="center"/>
    </x:xf>
    <x:xf numFmtId="0" fontId="0" fillId="36" borderId="0" xfId="0" applyNumberFormat="1" applyFont="1" applyFill="1" applyBorder="1" applyAlignment="1">
      <x:alignment horizontal="center"/>
    </x:xf>
    <x:xf numFmtId="202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/>
    <x:xf numFmtId="0" fontId="6" fillId="15" borderId="0" xfId="0" applyNumberFormat="1" applyFont="1" applyFill="1" applyBorder="1"/>
    <x:xf numFmtId="0" fontId="6" fillId="20" borderId="0" xfId="0" applyNumberFormat="1" applyFont="1" applyFill="1" applyBorder="1"/>
    <x:xf numFmtId="0" fontId="6" fillId="24" borderId="0" xfId="0" applyNumberFormat="1" applyFont="1" applyFill="1" applyBorder="1"/>
    <x:xf numFmtId="0" fontId="6" fillId="26" borderId="0" xfId="0" applyNumberFormat="1" applyFont="1" applyFill="1" applyBorder="1"/>
    <x:xf numFmtId="0" fontId="6" fillId="29" borderId="0" xfId="0" applyNumberFormat="1" applyFont="1" applyFill="1" applyBorder="1"/>
    <x:xf numFmtId="0" fontId="6" fillId="25" borderId="0" xfId="0" applyNumberFormat="1" applyFont="1" applyFill="1" applyBorder="1"/>
    <x:xf numFmtId="0" fontId="6" fillId="33" borderId="0" xfId="0" applyNumberFormat="1" applyFont="1" applyFill="1" applyBorder="1"/>
    <x:xf numFmtId="0" fontId="6" fillId="37" borderId="0" xfId="0" applyNumberFormat="1" applyFont="1" applyFill="1" applyBorder="1"/>
    <x:xf numFmtId="0" fontId="6" fillId="40" borderId="0" xfId="0" applyNumberFormat="1" applyFont="1" applyFill="1" applyBorder="1"/>
    <x:xf numFmtId="0" fontId="6" fillId="44" borderId="0" xfId="0" applyNumberFormat="1" applyFont="1" applyFill="1" applyBorder="1"/>
    <x:xf numFmtId="0" fontId="6" fillId="47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6" fillId="15" borderId="0" xfId="0" applyNumberFormat="1" applyFont="1" applyFill="1" applyBorder="1" applyAlignment="1">
      <x:alignment horizontal="center"/>
    </x:xf>
    <x:xf numFmtId="0" fontId="6" fillId="20" borderId="0" xfId="0" applyNumberFormat="1" applyFont="1" applyFill="1" applyBorder="1" applyAlignment="1">
      <x:alignment horizontal="center"/>
    </x:xf>
    <x:xf numFmtId="0" fontId="6" fillId="24" borderId="0" xfId="0" applyNumberFormat="1" applyFont="1" applyFill="1" applyBorder="1" applyAlignment="1">
      <x:alignment horizontal="center"/>
    </x:xf>
    <x:xf numFmtId="0" fontId="6" fillId="26" borderId="0" xfId="0" applyNumberFormat="1" applyFont="1" applyFill="1" applyBorder="1" applyAlignment="1">
      <x:alignment horizontal="center"/>
    </x:xf>
    <x:xf numFmtId="0" fontId="6" fillId="29" borderId="0" xfId="0" applyNumberFormat="1" applyFont="1" applyFill="1" applyBorder="1" applyAlignment="1">
      <x:alignment horizontal="center"/>
    </x:xf>
    <x:xf numFmtId="0" fontId="6" fillId="25" borderId="0" xfId="0" applyNumberFormat="1" applyFont="1" applyFill="1" applyBorder="1" applyAlignment="1">
      <x:alignment horizontal="center"/>
    </x:xf>
    <x:xf numFmtId="0" fontId="6" fillId="33" borderId="0" xfId="0" applyNumberFormat="1" applyFont="1" applyFill="1" applyBorder="1" applyAlignment="1">
      <x:alignment horizontal="center"/>
    </x:xf>
    <x:xf numFmtId="0" fontId="6" fillId="37" borderId="0" xfId="0" applyNumberFormat="1" applyFont="1" applyFill="1" applyBorder="1" applyAlignment="1">
      <x:alignment horizontal="center"/>
    </x:xf>
    <x:xf numFmtId="0" fontId="6" fillId="40" borderId="0" xfId="0" applyNumberFormat="1" applyFont="1" applyFill="1" applyBorder="1" applyAlignment="1">
      <x:alignment horizontal="center"/>
    </x:xf>
    <x:xf numFmtId="0" fontId="6" fillId="44" borderId="0" xfId="0" applyNumberFormat="1" applyFont="1" applyFill="1" applyBorder="1" applyAlignment="1">
      <x:alignment horizontal="center"/>
    </x:xf>
    <x:xf numFmtId="0" fontId="6" fillId="47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200" fontId="6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200" fontId="6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45" borderId="7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0" fontId="0" fillId="43" borderId="7" xfId="0" applyNumberFormat="1" applyFont="1" applyFill="1" applyBorder="1" applyAlignment="1">
      <x:alignment horizontal="center"/>
    </x:xf>
    <x:xf numFmtId="0" fontId="0" fillId="46" borderId="7" xfId="0" applyNumberFormat="1" applyFont="1" applyFill="1" applyBorder="1" applyAlignment="1">
      <x:alignment horizontal="center"/>
    </x:xf>
    <x:xf numFmtId="0" fontId="0" fillId="30" borderId="7" xfId="0" applyNumberFormat="1" applyFont="1" applyFill="1" applyBorder="1" applyAlignment="1">
      <x:alignment horizontal="center"/>
    </x:xf>
    <x:xf numFmtId="202" fontId="6" fillId="0" borderId="7" xfId="0" applyNumberFormat="1" applyFont="1" applyFill="1" applyBorder="1" applyAlignment="1">
      <x:alignment horizontal="center"/>
    </x:xf>
    <x:xf numFmtId="201" fontId="0" fillId="0" borderId="7" xfId="0" applyNumberFormat="1" applyFont="1" applyFill="1" applyBorder="1" applyAlignment="1">
      <x:alignment horizontal="center"/>
    </x:xf>
    <x:xf numFmtId="0" fontId="6" fillId="47" borderId="7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0" fillId="49" borderId="0" xfId="0" applyNumberFormat="1" applyFont="1" applyFill="1" applyBorder="1"/>
    <x:xf numFmtId="0" fontId="0" fillId="50" borderId="0" xfId="0" applyNumberFormat="1" applyFont="1" applyFill="1" applyBorder="1"/>
    <x:xf numFmtId="0" fontId="0" fillId="51" borderId="0" xfId="0" applyNumberFormat="1" applyFont="1" applyFill="1" applyBorder="1"/>
    <x:xf numFmtId="0" fontId="0" fillId="52" borderId="0" xfId="0" applyNumberFormat="1" applyFont="1" applyFill="1" applyBorder="1"/>
    <x:xf numFmtId="0" fontId="0" fillId="53" borderId="0" xfId="0" applyNumberFormat="1" applyFont="1" applyFill="1" applyBorder="1"/>
    <x:xf numFmtId="0" fontId="0" fillId="54" borderId="0" xfId="0" applyNumberFormat="1" applyFont="1" applyFill="1" applyBorder="1"/>
    <x:xf numFmtId="0" fontId="0" fillId="55" borderId="0" xfId="0" applyNumberFormat="1" applyFont="1" applyFill="1" applyBorder="1"/>
    <x:xf numFmtId="0" fontId="0" fillId="56" borderId="0" xfId="0" applyNumberFormat="1" applyFont="1" applyFill="1" applyBorder="1"/>
    <x:xf numFmtId="0" fontId="0" fillId="57" borderId="0" xfId="0" applyNumberFormat="1" applyFont="1" applyFill="1" applyBorder="1"/>
    <x:xf numFmtId="0" fontId="0" fillId="58" borderId="0" xfId="0" applyNumberFormat="1" applyFont="1" applyFill="1" applyBorder="1"/>
    <x:xf numFmtId="0" fontId="0" fillId="59" borderId="0" xfId="0" applyNumberFormat="1" applyFont="1" applyFill="1" applyBorder="1"/>
    <x:xf numFmtId="0" fontId="0" fillId="60" borderId="0" xfId="0" applyNumberFormat="1" applyFont="1" applyFill="1" applyBorder="1"/>
    <x:xf numFmtId="0" fontId="0" fillId="61" borderId="0" xfId="0" applyNumberFormat="1" applyFont="1" applyFill="1" applyBorder="1"/>
    <x:xf numFmtId="0" fontId="0" fillId="62" borderId="0" xfId="0" applyNumberFormat="1" applyFont="1" applyFill="1" applyBorder="1"/>
    <x:xf numFmtId="0" fontId="0" fillId="63" borderId="0" xfId="0" applyNumberFormat="1" applyFont="1" applyFill="1" applyBorder="1"/>
    <x:xf numFmtId="0" fontId="0" fillId="64" borderId="0" xfId="0" applyNumberFormat="1" applyFont="1" applyFill="1" applyBorder="1"/>
    <x:xf numFmtId="0" fontId="0" fillId="65" borderId="0" xfId="0" applyNumberFormat="1" applyFont="1" applyFill="1" applyBorder="1"/>
    <x:xf numFmtId="0" fontId="0" fillId="66" borderId="0" xfId="0" applyNumberFormat="1" applyFont="1" applyFill="1" applyBorder="1"/>
    <x:xf numFmtId="0" fontId="0" fillId="67" borderId="0" xfId="0" applyNumberFormat="1" applyFont="1" applyFill="1" applyBorder="1"/>
    <x:xf numFmtId="0" fontId="0" fillId="68" borderId="0" xfId="0" applyNumberFormat="1" applyFont="1" applyFill="1" applyBorder="1"/>
    <x:xf numFmtId="0" fontId="0" fillId="69" borderId="0" xfId="0" applyNumberFormat="1" applyFont="1" applyFill="1" applyBorder="1"/>
    <x:xf numFmtId="0" fontId="0" fillId="70" borderId="0" xfId="0" applyNumberFormat="1" applyFont="1" applyFill="1" applyBorder="1"/>
    <x:xf numFmtId="0" fontId="0" fillId="49" borderId="0" xfId="0" applyNumberFormat="1" applyFont="1" applyFill="1" applyBorder="1" applyAlignment="1">
      <x:alignment horizontal="center"/>
    </x:xf>
    <x:xf numFmtId="0" fontId="0" fillId="55" borderId="0" xfId="0" applyNumberFormat="1" applyFont="1" applyFill="1" applyBorder="1" applyAlignment="1">
      <x:alignment horizontal="center"/>
    </x:xf>
    <x:xf numFmtId="0" fontId="0" fillId="61" borderId="0" xfId="0" applyNumberFormat="1" applyFont="1" applyFill="1" applyBorder="1" applyAlignment="1">
      <x:alignment horizontal="center"/>
    </x:xf>
    <x:xf numFmtId="0" fontId="0" fillId="64" borderId="0" xfId="0" applyNumberFormat="1" applyFont="1" applyFill="1" applyBorder="1" applyAlignment="1">
      <x:alignment horizontal="center"/>
    </x:xf>
    <x:xf numFmtId="0" fontId="0" fillId="65" borderId="0" xfId="0" applyNumberFormat="1" applyFont="1" applyFill="1" applyBorder="1" applyAlignment="1">
      <x:alignment horizontal="center"/>
    </x:xf>
    <x:xf numFmtId="0" fontId="0" fillId="50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 applyAlignment="1">
      <x:alignment horizontal="center"/>
    </x:xf>
    <x:xf numFmtId="0" fontId="0" fillId="53" borderId="0" xfId="0" applyNumberFormat="1" applyFont="1" applyFill="1" applyBorder="1" applyAlignment="1">
      <x:alignment horizontal="center"/>
    </x:xf>
    <x:xf numFmtId="0" fontId="0" fillId="56" borderId="0" xfId="0" applyNumberFormat="1" applyFont="1" applyFill="1" applyBorder="1" applyAlignment="1">
      <x:alignment horizontal="center"/>
    </x:xf>
    <x:xf numFmtId="0" fontId="0" fillId="57" borderId="0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 applyAlignment="1">
      <x:alignment horizontal="center"/>
    </x:xf>
    <x:xf numFmtId="0" fontId="0" fillId="62" borderId="0" xfId="0" applyNumberFormat="1" applyFont="1" applyFill="1" applyBorder="1" applyAlignment="1">
      <x:alignment horizontal="center"/>
    </x:xf>
    <x:xf numFmtId="0" fontId="0" fillId="67" borderId="0" xfId="0" applyNumberFormat="1" applyFont="1" applyFill="1" applyBorder="1" applyAlignment="1">
      <x:alignment horizontal="center"/>
    </x:xf>
    <x:xf numFmtId="0" fontId="0" fillId="69" borderId="0" xfId="0" applyNumberFormat="1" applyFont="1" applyFill="1" applyBorder="1" applyAlignment="1">
      <x:alignment horizontal="center"/>
    </x:xf>
    <x:xf numFmtId="0" fontId="6" fillId="48" borderId="0" xfId="0" applyNumberFormat="1" applyFont="1" applyFill="1" applyBorder="1"/>
    <x:xf numFmtId="0" fontId="6" fillId="12" borderId="0" xfId="0" applyNumberFormat="1" applyFont="1" applyFill="1" applyBorder="1"/>
    <x:xf numFmtId="0" fontId="6" fillId="52" borderId="0" xfId="0" applyNumberFormat="1" applyFont="1" applyFill="1" applyBorder="1"/>
    <x:xf numFmtId="0" fontId="6" fillId="54" borderId="0" xfId="0" applyNumberFormat="1" applyFont="1" applyFill="1" applyBorder="1"/>
    <x:xf numFmtId="0" fontId="6" fillId="57" borderId="0" xfId="0" applyNumberFormat="1" applyFont="1" applyFill="1" applyBorder="1"/>
    <x:xf numFmtId="0" fontId="6" fillId="58" borderId="0" xfId="0" applyNumberFormat="1" applyFont="1" applyFill="1" applyBorder="1"/>
    <x:xf numFmtId="0" fontId="6" fillId="60" borderId="0" xfId="0" applyNumberFormat="1" applyFont="1" applyFill="1" applyBorder="1"/>
    <x:xf numFmtId="0" fontId="6" fillId="63" borderId="0" xfId="0" applyNumberFormat="1" applyFont="1" applyFill="1" applyBorder="1"/>
    <x:xf numFmtId="0" fontId="6" fillId="66" borderId="0" xfId="0" applyNumberFormat="1" applyFont="1" applyFill="1" applyBorder="1"/>
    <x:xf numFmtId="0" fontId="6" fillId="68" borderId="0" xfId="0" applyNumberFormat="1" applyFont="1" applyFill="1" applyBorder="1"/>
    <x:xf numFmtId="0" fontId="6" fillId="70" borderId="0" xfId="0" applyNumberFormat="1" applyFont="1" applyFill="1" applyBorder="1"/>
    <x:xf numFmtId="0" fontId="6" fillId="48" borderId="0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horizontal="center"/>
    </x:xf>
    <x:xf numFmtId="0" fontId="6" fillId="52" borderId="0" xfId="0" applyNumberFormat="1" applyFont="1" applyFill="1" applyBorder="1" applyAlignment="1">
      <x:alignment horizontal="center"/>
    </x:xf>
    <x:xf numFmtId="0" fontId="6" fillId="54" borderId="0" xfId="0" applyNumberFormat="1" applyFont="1" applyFill="1" applyBorder="1" applyAlignment="1">
      <x:alignment horizontal="center"/>
    </x:xf>
    <x:xf numFmtId="0" fontId="6" fillId="57" borderId="0" xfId="0" applyNumberFormat="1" applyFont="1" applyFill="1" applyBorder="1" applyAlignment="1">
      <x:alignment horizontal="center"/>
    </x:xf>
    <x:xf numFmtId="0" fontId="6" fillId="58" borderId="0" xfId="0" applyNumberFormat="1" applyFont="1" applyFill="1" applyBorder="1" applyAlignment="1">
      <x:alignment horizontal="center"/>
    </x:xf>
    <x:xf numFmtId="0" fontId="6" fillId="60" borderId="0" xfId="0" applyNumberFormat="1" applyFont="1" applyFill="1" applyBorder="1" applyAlignment="1">
      <x:alignment horizontal="center"/>
    </x:xf>
    <x:xf numFmtId="0" fontId="6" fillId="63" borderId="0" xfId="0" applyNumberFormat="1" applyFont="1" applyFill="1" applyBorder="1" applyAlignment="1">
      <x:alignment horizontal="center"/>
    </x:xf>
    <x:xf numFmtId="0" fontId="6" fillId="66" borderId="0" xfId="0" applyNumberFormat="1" applyFont="1" applyFill="1" applyBorder="1" applyAlignment="1">
      <x:alignment horizontal="center"/>
    </x:xf>
    <x:xf numFmtId="0" fontId="6" fillId="68" borderId="0" xfId="0" applyNumberFormat="1" applyFont="1" applyFill="1" applyBorder="1" applyAlignment="1">
      <x:alignment horizontal="center"/>
    </x:xf>
    <x:xf numFmtId="0" fontId="6" fillId="70" borderId="0" xfId="0" applyNumberFormat="1" applyFont="1" applyFill="1" applyBorder="1" applyAlignment="1">
      <x:alignment horizontal="center"/>
    </x:xf>
    <x:xf numFmtId="0" fontId="0" fillId="65" borderId="7" xfId="0" applyNumberFormat="1" applyFont="1" applyFill="1" applyBorder="1" applyAlignment="1">
      <x:alignment horizontal="center"/>
    </x:xf>
    <x:xf numFmtId="0" fontId="0" fillId="69" borderId="7" xfId="0" applyNumberFormat="1" applyFont="1" applyFill="1" applyBorder="1" applyAlignment="1">
      <x:alignment horizontal="center"/>
    </x:xf>
    <x:xf numFmtId="0" fontId="6" fillId="70" borderId="7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 applyAlignment="1">
      <x:alignment horizontal="center"/>
    </x:xf>
    <x:xf numFmtId="0" fontId="0" fillId="52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 applyAlignment="1">
      <x:alignment horizontal="center"/>
    </x:xf>
    <x:xf numFmtId="0" fontId="0" fillId="58" borderId="0" xfId="0" applyNumberFormat="1" applyFont="1" applyFill="1" applyBorder="1" applyAlignment="1">
      <x:alignment horizontal="center"/>
    </x:xf>
    <x:xf numFmtId="0" fontId="0" fillId="37" borderId="0" xfId="0" applyNumberFormat="1" applyFont="1" applyFill="1" applyBorder="1" applyAlignment="1">
      <x:alignment horizontal="center"/>
    </x:xf>
    <x:xf numFmtId="0" fontId="0" fillId="48" borderId="0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 applyAlignment="1">
      <x:alignment horizontal="center"/>
    </x:xf>
    <x:xf numFmtId="0" fontId="0" fillId="5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 applyAlignment="1">
      <x:alignment horizontal="center"/>
    </x:xf>
    <x:xf numFmtId="0" fontId="0" fillId="66" borderId="0" xfId="0" applyNumberFormat="1" applyFont="1" applyFill="1" applyBorder="1" applyAlignment="1">
      <x:alignment horizontal="center"/>
    </x:xf>
    <x:xf numFmtId="0" fontId="0" fillId="63" borderId="0" xfId="0" applyNumberFormat="1" applyFont="1" applyFill="1" applyBorder="1" applyAlignment="1">
      <x:alignment horizontal="center"/>
    </x:xf>
    <x:xf numFmtId="0" fontId="0" fillId="60" borderId="0" xfId="0" applyNumberFormat="1" applyFont="1" applyFill="1" applyBorder="1" applyAlignment="1">
      <x:alignment horizontal="center"/>
    </x:xf>
    <x:xf numFmtId="0" fontId="0" fillId="44" borderId="0" xfId="0" applyNumberFormat="1" applyFont="1" applyFill="1" applyBorder="1" applyAlignment="1">
      <x:alignment horizontal="center"/>
    </x:xf>
    <x:xf numFmtId="0" fontId="0" fillId="70" borderId="0" xfId="0" applyNumberFormat="1" applyFont="1" applyFill="1" applyBorder="1" applyAlignment="1">
      <x:alignment horizontal="center"/>
    </x:xf>
    <x:xf numFmtId="0" fontId="0" fillId="47" borderId="0" xfId="0" applyNumberFormat="1" applyFont="1" applyFill="1" applyBorder="1" applyAlignment="1">
      <x:alignment horizontal="center"/>
    </x:xf>
    <x:xf numFmtId="0" fontId="0" fillId="68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546741156433e" /><Relationship Type="http://schemas.openxmlformats.org/officeDocument/2006/relationships/theme" Target="/xl/theme/theme1.xml" Id="R5be65d6fd92e49fe" /><Relationship Type="http://schemas.openxmlformats.org/officeDocument/2006/relationships/sharedStrings" Target="/xl/sharedStrings.xml" Id="R48aa8e939fc743c7" /><Relationship Type="http://schemas.openxmlformats.org/officeDocument/2006/relationships/worksheet" Target="/xl/worksheets/sheet1.xml" Id="R5e6eba04a3484ec9" /><Relationship Type="http://schemas.openxmlformats.org/officeDocument/2006/relationships/worksheet" Target="/xl/worksheets/sheet2.xml" Id="R554788cff73e4b4a" /><Relationship Type="http://schemas.openxmlformats.org/officeDocument/2006/relationships/worksheet" Target="/xl/worksheets/sheet3.xml" Id="Redf0c380bf12413e" /><Relationship Type="http://schemas.openxmlformats.org/officeDocument/2006/relationships/worksheet" Target="/xl/worksheets/sheet4.xml" Id="Rde8cd799bffd47d8" /><Relationship Type="http://schemas.openxmlformats.org/officeDocument/2006/relationships/worksheet" Target="/xl/worksheets/sheet5.xml" Id="R754918d783264044" /></Relationships>
</file>

<file path=xl/tables/table1.xml><?xml version="1.0" encoding="utf-8"?>
<x:table xmlns:x="http://schemas.openxmlformats.org/spreadsheetml/2006/main" id="2" name="SnakeConsensusTable" displayName="SnakeConsensusTable" ref="A5:O17" headerRowCount="1" totalsRowCount="0" totalsRowShown="0">
  <x:tableColumns count="15">
    <x:tableColumn id="1" name="Consensus Rank"/>
    <x:tableColumn id="2" name="Team"/>
    <x:tableColumn id="3" name="Grade"/>
    <x:tableColumn id="4" name="Rank"/>
    <x:tableColumn id="5" name="Grade"/>
    <x:tableColumn id="6" name="Rank"/>
    <x:tableColumn id="7" name="Grade"/>
    <x:tableColumn id="8" name="Rank"/>
    <x:tableColumn id="9" name="Grade"/>
    <x:tableColumn id="10" name="Rank"/>
    <x:tableColumn id="11" name="Average Rank"/>
    <x:tableColumn id="12" name="Rank Spread"/>
    <x:tableColumn id="13" name="Avg Grade Score"/>
    <x:tableColumn id="14" name="Consensus Grade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uctionConsensusTable" displayName="AuctionConsensusTable" ref="A5:M17" headerRowCount="1" totalsRowCount="0" totalsRowShown="0">
  <x:tableColumns count="13">
    <x:tableColumn id="1" name="Consensus Rank"/>
    <x:tableColumn id="2" name="Team"/>
    <x:tableColumn id="3" name="Grade"/>
    <x:tableColumn id="4" name="Rank"/>
    <x:tableColumn id="5" name="Grade"/>
    <x:tableColumn id="6" name="Rank"/>
    <x:tableColumn id="7" name="Grade"/>
    <x:tableColumn id="8" name="Rank"/>
    <x:tableColumn id="9" name="Average Rank"/>
    <x:tableColumn id="10" name="Rank Spread"/>
    <x:tableColumn id="11" name="Avg Grade Score"/>
    <x:tableColumn id="12" name="Consensus Grade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OverallConsensusTable" displayName="OverallConsensusTable" ref="A5:K19" headerRowCount="1" totalsRowCount="0" totalsRowShown="0">
  <x:tableColumns count="11">
    <x:tableColumn id="1" name="Overall Rank"/>
    <x:tableColumn id="2" name="Owner"/>
    <x:tableColumn id="3" name="Grade"/>
    <x:tableColumn id="4" name="Avg Rank"/>
    <x:tableColumn id="5" name="Consensus Rank"/>
    <x:tableColumn id="6" name="Grade"/>
    <x:tableColumn id="7" name="Avg Rank"/>
    <x:tableColumn id="8" name="Consensus Rank"/>
    <x:tableColumn id="9" name="Combined Avg Rank"/>
    <x:tableColumn id="10" name="Formats"/>
    <x:tableColumn id="11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SourceGradesTable" displayName="SourceGradesTable" ref="A5:F89" headerRowCount="1" totalsRowCount="0" totalsRowShown="0">
  <x:tableColumns count="6">
    <x:tableColumn id="1" name="League"/>
    <x:tableColumn id="2" name="Team"/>
    <x:tableColumn id="3" name="Site"/>
    <x:tableColumn id="4" name="Published Grade"/>
    <x:tableColumn id="5" name="Published Rank"/>
    <x:tableColumn id="6" name="Normalized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4d67b68c7e41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c88ee19b89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8afe81381847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c44643a6184b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8799991607666" hidden="0" customWidth="1"/>
    <x:col min="3" max="3" width="10" hidden="0" customWidth="1"/>
    <x:col min="4" max="4" width="7.75" hidden="0" customWidth="1"/>
    <x:col min="5" max="5" width="10" hidden="0" customWidth="1"/>
    <x:col min="6" max="6" width="7.75" hidden="0" customWidth="1"/>
    <x:col min="7" max="7" width="10" hidden="0" customWidth="1"/>
    <x:col min="8" max="8" width="7.75" hidden="0" customWidth="1"/>
    <x:col min="9" max="9" width="10" hidden="0" customWidth="1"/>
    <x:col min="10" max="10" width="7.75" hidden="0" customWidth="1"/>
    <x:col min="11" max="11" width="12.5" hidden="0" customWidth="1"/>
    <x:col min="12" max="12" width="10.75" hidden="0" customWidth="1"/>
    <x:col min="13" max="13" width="13.5" hidden="0" customWidth="1"/>
    <x:col min="14" max="14" width="14" hidden="0" customWidth="1"/>
    <x:col min="15" max="15" width="33.75" hidden="0" customWidth="1"/>
  </x:cols>
  <x:sheetData>
    <x:row r="1" ht="30" customHeight="1">
      <x:c r="A1" s="3" t="str">
        <x:v>Snake draft consensus grades</x:v>
      </x:c>
      <x:c r="B1" s="3" t="str">
        <x:v>Snake draft consensus grades</x:v>
      </x:c>
      <x:c r="C1" s="3" t="str">
        <x:v>Snake draft consensus grades</x:v>
      </x:c>
      <x:c r="D1" s="3" t="str">
        <x:v>Snake draft consensus grades</x:v>
      </x:c>
      <x:c r="E1" s="3" t="str">
        <x:v>Snake draft consensus grades</x:v>
      </x:c>
      <x:c r="F1" s="3" t="str">
        <x:v>Snake draft consensus grades</x:v>
      </x:c>
      <x:c r="G1" s="3" t="str">
        <x:v>Snake draft consensus grades</x:v>
      </x:c>
      <x:c r="H1" s="3" t="str">
        <x:v>Snake draft consensus grades</x:v>
      </x:c>
      <x:c r="I1" s="3" t="str">
        <x:v>Snake draft consensus grades</x:v>
      </x:c>
      <x:c r="J1" s="3" t="str">
        <x:v>Snake draft consensus grades</x:v>
      </x:c>
      <x:c r="K1" s="3" t="str">
        <x:v>Snake draft consensus grades</x:v>
      </x:c>
      <x:c r="L1" s="3" t="str">
        <x:v>Snake draft consensus grades</x:v>
      </x:c>
      <x:c r="M1" s="3" t="str">
        <x:v>Snake draft consensus grades</x:v>
      </x:c>
      <x:c r="N1" s="3" t="str">
        <x:v>Snake draft consensus grades</x:v>
      </x:c>
      <x:c r="O1" s="3" t="str">
        <x:v>Snake draft consensus grades</x:v>
      </x:c>
    </x:row>
    <x:row r="2" ht="25.5" customHeight="1">
      <x:c r="A2" s="7" t="str">
        <x:v>4 sources · original grades retained · consensus ordered by average published rank</x:v>
      </x:c>
      <x:c r="B2" s="7" t="str">
        <x:v>4 sources · original grades retained · consensus ordered by average published rank</x:v>
      </x:c>
      <x:c r="C2" s="7" t="str">
        <x:v>4 sources · original grades retained · consensus ordered by average published rank</x:v>
      </x:c>
      <x:c r="D2" s="7" t="str">
        <x:v>4 sources · original grades retained · consensus ordered by average published rank</x:v>
      </x:c>
      <x:c r="E2" s="7" t="str">
        <x:v>4 sources · original grades retained · consensus ordered by average published rank</x:v>
      </x:c>
      <x:c r="F2" s="7" t="str">
        <x:v>4 sources · original grades retained · consensus ordered by average published rank</x:v>
      </x:c>
      <x:c r="G2" s="7" t="str">
        <x:v>4 sources · original grades retained · consensus ordered by average published rank</x:v>
      </x:c>
      <x:c r="H2" s="7" t="str">
        <x:v>4 sources · original grades retained · consensus ordered by average published rank</x:v>
      </x:c>
      <x:c r="I2" s="7" t="str">
        <x:v>4 sources · original grades retained · consensus ordered by average published rank</x:v>
      </x:c>
      <x:c r="J2" s="7" t="str">
        <x:v>4 sources · original grades retained · consensus ordered by average published rank</x:v>
      </x:c>
      <x:c r="K2" s="7" t="str">
        <x:v>4 sources · original grades retained · consensus ordered by average published rank</x:v>
      </x:c>
      <x:c r="L2" s="7" t="str">
        <x:v>4 sources · original grades retained · consensus ordered by average published rank</x:v>
      </x:c>
      <x:c r="M2" s="7" t="str">
        <x:v>4 sources · original grades retained · consensus ordered by average published rank</x:v>
      </x:c>
      <x:c r="N2" s="7" t="str">
        <x:v>4 sources · original grades retained · consensus ordered by average published rank</x:v>
      </x:c>
      <x:c r="O2" s="7" t="str">
        <x:v>4 sources · original grades retained · consensus ordered by average published rank</x:v>
      </x:c>
    </x:row>
    <x:row r="4">
      <x:c r="A4" s="133" t="str">
        <x:v>Consensus</x:v>
      </x:c>
      <x:c r="B4" s="134" t="str"/>
      <x:c r="C4" s="135" t="str">
        <x:v>FantasyPros</x:v>
      </x:c>
      <x:c r="D4" s="135" t="str">
        <x:v>FantasyPros</x:v>
      </x:c>
      <x:c r="E4" s="135" t="str">
        <x:v>Yahoo</x:v>
      </x:c>
      <x:c r="F4" s="135" t="str">
        <x:v>Yahoo</x:v>
      </x:c>
      <x:c r="G4" s="135" t="str">
        <x:v>FanDraft</x:v>
      </x:c>
      <x:c r="H4" s="135" t="str">
        <x:v>FanDraft</x:v>
      </x:c>
      <x:c r="I4" s="135" t="str">
        <x:v>McCade's</x:v>
      </x:c>
      <x:c r="J4" s="135" t="str">
        <x:v>McCade's</x:v>
      </x:c>
      <x:c r="K4" s="136" t="str">
        <x:v>Cross-site consensus</x:v>
      </x:c>
      <x:c r="L4" s="136" t="str">
        <x:v>Cross-site consensus</x:v>
      </x:c>
      <x:c r="M4" s="136" t="str">
        <x:v>Cross-site consensus</x:v>
      </x:c>
      <x:c r="N4" s="136" t="str">
        <x:v>Cross-site consensus</x:v>
      </x:c>
      <x:c r="O4" s="137" t="str">
        <x:v>Cross-site consensus</x:v>
      </x:c>
    </x:row>
    <x:row r="5" ht="28.5" customHeight="1">
      <x:c r="A5" s="138" t="str">
        <x:v>Consensus Rank</x:v>
      </x:c>
      <x:c r="B5" s="31" t="str">
        <x:v>Team</x:v>
      </x:c>
      <x:c r="C5" s="31" t="str">
        <x:v>Grade</x:v>
      </x:c>
      <x:c r="D5" s="31" t="str">
        <x:v>Rank</x:v>
      </x:c>
      <x:c r="E5" s="31" t="str">
        <x:v>Grade</x:v>
      </x:c>
      <x:c r="F5" s="31" t="str">
        <x:v>Rank</x:v>
      </x:c>
      <x:c r="G5" s="31" t="str">
        <x:v>Grade</x:v>
      </x:c>
      <x:c r="H5" s="31" t="str">
        <x:v>Rank</x:v>
      </x:c>
      <x:c r="I5" s="31" t="str">
        <x:v>Grade</x:v>
      </x:c>
      <x:c r="J5" s="31" t="str">
        <x:v>Rank</x:v>
      </x:c>
      <x:c r="K5" s="31" t="str">
        <x:v>Average Rank</x:v>
      </x:c>
      <x:c r="L5" s="31" t="str">
        <x:v>Rank Spread</x:v>
      </x:c>
      <x:c r="M5" s="31" t="str">
        <x:v>Avg Grade Score</x:v>
      </x:c>
      <x:c r="N5" s="31" t="str">
        <x:v>Consensus Grade</x:v>
      </x:c>
      <x:c r="O5" s="139" t="str">
        <x:v>Notes</x:v>
      </x:c>
    </x:row>
    <x:row r="6" ht="20.25" customHeight="1">
      <x:c r="A6" s="140" t="n">
        <x:f>RANK(K6,$K$6:$K$17,1)+COUNTIFS($K$6:$K$17,K6,$M$6:$M$17,"&gt;"&amp;M6)</x:f>
        <x:v>1</x:v>
      </x:c>
      <x:c r="B6" s="141" t="str">
        <x:v>Carson</x:v>
      </x:c>
      <x:c r="C6" s="75" t="n">
        <x:f>'Source Grades'!$D$42</x:f>
        <x:v>100</x:v>
      </x:c>
      <x:c r="D6" s="21" t="n">
        <x:f>'Source Grades'!$E$42</x:f>
        <x:v>1</x:v>
      </x:c>
      <x:c r="E6" s="85" t="str">
        <x:f>'Source Grades'!$D$54</x:f>
        <x:v>A+</x:v>
      </x:c>
      <x:c r="F6" s="21" t="n">
        <x:f>'Source Grades'!$E$54</x:f>
        <x:v>2</x:v>
      </x:c>
      <x:c r="G6" s="90" t="n">
        <x:f>'Source Grades'!$D$77</x:f>
        <x:v>92.1</x:v>
      </x:c>
      <x:c r="H6" s="21" t="n">
        <x:f>'Source Grades'!$E$77</x:f>
        <x:v>1</x:v>
      </x:c>
      <x:c r="I6" s="101" t="str">
        <x:f>'Source Grades'!$D$78</x:f>
        <x:v>C+</x:v>
      </x:c>
      <x:c r="J6" s="21" t="n">
        <x:f>'Source Grades'!$E$78</x:f>
        <x:v>7</x:v>
      </x:c>
      <x:c r="K6" s="106" t="n">
        <x:f>AVERAGE(D6,F6,H6,J6)</x:f>
        <x:v>2.75</x:v>
      </x:c>
      <x:c r="L6" s="21" t="n">
        <x:f>MAX(D6,F6,H6,J6)-MIN(D6,F6,H6,J6)</x:f>
        <x:v>6</x:v>
      </x:c>
      <x:c r="M6" s="23" t="n">
        <x:f>AVERAGE('Source Grades'!$F$42,'Source Grades'!$F$54,'Source Grades'!$F$77,'Source Grades'!$F$78)</x:f>
        <x:v>92.025</x:v>
      </x:c>
      <x:c r="N6" s="119" t="str">
        <x:f>VLOOKUP(M6,'Methodology'!$D$13:$E$25,2,TRUE)</x:f>
        <x:v>A-</x:v>
      </x:c>
      <x:c r="O6" s="142" t="str">
        <x:f>IF(L6&gt;=7,"Polarizing — sites span "&amp;TEXT(L6,"0")&amp;" places",IF(K6&lt;=3.5,"Strong consensus — top tier",IF(K6&gt;=9.5,"Consensus lower tier",IF(L6&lt;=3,"Sites largely agree","Mixed evaluations across sites"))))</x:f>
        <x:v>Strong consensus — top tier</x:v>
      </x:c>
    </x:row>
    <x:row r="7" ht="20.25" customHeight="1">
      <x:c r="A7" s="140" t="n">
        <x:f>RANK(K7,$K$6:$K$17,1)+COUNTIFS($K$6:$K$17,K7,$M$6:$M$17,"&gt;"&amp;M7)</x:f>
        <x:v>2</x:v>
      </x:c>
      <x:c r="B7" s="141" t="str">
        <x:v>Easton</x:v>
      </x:c>
      <x:c r="C7" s="76" t="n">
        <x:f>'Source Grades'!$D$45</x:f>
        <x:v>93</x:v>
      </x:c>
      <x:c r="D7" s="21" t="n">
        <x:f>'Source Grades'!$E$45</x:f>
        <x:v>4</x:v>
      </x:c>
      <x:c r="E7" s="85" t="str">
        <x:f>'Source Grades'!$D$57</x:f>
        <x:v>A+</x:v>
      </x:c>
      <x:c r="F7" s="21" t="n">
        <x:f>'Source Grades'!$E$57</x:f>
        <x:v>1</x:v>
      </x:c>
      <x:c r="G7" s="91" t="n">
        <x:f>'Source Grades'!$D$74</x:f>
        <x:v>88.7</x:v>
      </x:c>
      <x:c r="H7" s="21" t="n">
        <x:f>'Source Grades'!$E$74</x:f>
        <x:v>4</x:v>
      </x:c>
      <x:c r="I7" s="102" t="str">
        <x:f>'Source Grades'!$D$81</x:f>
        <x:v>B</x:v>
      </x:c>
      <x:c r="J7" s="21" t="n">
        <x:f>'Source Grades'!$E$81</x:f>
        <x:v>5</x:v>
      </x:c>
      <x:c r="K7" s="106" t="n">
        <x:f>AVERAGE(D7,F7,H7,J7)</x:f>
        <x:v>3.5</x:v>
      </x:c>
      <x:c r="L7" s="21" t="n">
        <x:f>MAX(D7,F7,H7,J7)-MIN(D7,F7,H7,J7)</x:f>
        <x:v>4</x:v>
      </x:c>
      <x:c r="M7" s="23" t="n">
        <x:f>AVERAGE('Source Grades'!$F$45,'Source Grades'!$F$57,'Source Grades'!$F$74,'Source Grades'!$F$81)</x:f>
        <x:v>91.175</x:v>
      </x:c>
      <x:c r="N7" s="120" t="str">
        <x:f>VLOOKUP(M7,'Methodology'!$D$13:$E$25,2,TRUE)</x:f>
        <x:v>A-</x:v>
      </x:c>
      <x:c r="O7" s="142" t="str">
        <x:f>IF(L7&gt;=7,"Polarizing — sites span "&amp;TEXT(L7,"0")&amp;" places",IF(K7&lt;=3.5,"Strong consensus — top tier",IF(K7&gt;=9.5,"Consensus lower tier",IF(L7&lt;=3,"Sites largely agree","Mixed evaluations across sites"))))</x:f>
        <x:v>Strong consensus — top tier</x:v>
      </x:c>
    </x:row>
    <x:row r="8" ht="20.25" customHeight="1">
      <x:c r="A8" s="140" t="n">
        <x:f>RANK(K8,$K$6:$K$17,1)+COUNTIFS($K$6:$K$17,K8,$M$6:$M$17,"&gt;"&amp;M8)</x:f>
        <x:v>3</x:v>
      </x:c>
      <x:c r="B8" s="141" t="str">
        <x:v>Shane</x:v>
      </x:c>
      <x:c r="C8" s="77" t="n">
        <x:f>'Source Grades'!$D$48</x:f>
        <x:v>90</x:v>
      </x:c>
      <x:c r="D8" s="21" t="n">
        <x:f>'Source Grades'!$E$48</x:f>
        <x:v>7</x:v>
      </x:c>
      <x:c r="E8" s="80" t="str">
        <x:f>'Source Grades'!$D$60</x:f>
        <x:v>B+</x:v>
      </x:c>
      <x:c r="F8" s="21" t="n">
        <x:f>'Source Grades'!$E$60</x:f>
        <x:v>4</x:v>
      </x:c>
      <x:c r="G8" s="92" t="n">
        <x:f>'Source Grades'!$D$73</x:f>
        <x:v>88.2</x:v>
      </x:c>
      <x:c r="H8" s="21" t="n">
        <x:f>'Source Grades'!$E$73</x:f>
        <x:v>5</x:v>
      </x:c>
      <x:c r="I8" s="103" t="str">
        <x:f>'Source Grades'!$D$84</x:f>
        <x:v>A</x:v>
      </x:c>
      <x:c r="J8" s="21" t="n">
        <x:f>'Source Grades'!$E$84</x:f>
        <x:v>1</x:v>
      </x:c>
      <x:c r="K8" s="106" t="n">
        <x:f>AVERAGE(D8,F8,H8,J8)</x:f>
        <x:v>4.25</x:v>
      </x:c>
      <x:c r="L8" s="21" t="n">
        <x:f>MAX(D8,F8,H8,J8)-MIN(D8,F8,H8,J8)</x:f>
        <x:v>6</x:v>
      </x:c>
      <x:c r="M8" s="23" t="n">
        <x:f>AVERAGE('Source Grades'!$F$48,'Source Grades'!$F$60,'Source Grades'!$F$73,'Source Grades'!$F$84)</x:f>
        <x:v>90.3</x:v>
      </x:c>
      <x:c r="N8" s="121" t="str">
        <x:f>VLOOKUP(M8,'Methodology'!$D$13:$E$25,2,TRUE)</x:f>
        <x:v>A-</x:v>
      </x:c>
      <x:c r="O8" s="142" t="str">
        <x:f>IF(L8&gt;=7,"Polarizing — sites span "&amp;TEXT(L8,"0")&amp;" places",IF(K8&lt;=3.5,"Strong consensus — top tier",IF(K8&gt;=9.5,"Consensus lower tier",IF(L8&lt;=3,"Sites largely agree","Mixed evaluations across sites"))))</x:f>
        <x:v>Mixed evaluations across sites</x:v>
      </x:c>
    </x:row>
    <x:row r="9" ht="20.25" customHeight="1">
      <x:c r="A9" s="140" t="n">
        <x:f>RANK(K9,$K$6:$K$17,1)+COUNTIFS($K$6:$K$17,K9,$M$6:$M$17,"&gt;"&amp;M9)</x:f>
        <x:v>4</x:v>
      </x:c>
      <x:c r="B9" s="141" t="str">
        <x:v>McCade</x:v>
      </x:c>
      <x:c r="C9" s="78" t="n">
        <x:f>'Source Grades'!$D$44</x:f>
        <x:v>97</x:v>
      </x:c>
      <x:c r="D9" s="21" t="n">
        <x:f>'Source Grades'!$E$44</x:f>
        <x:v>3</x:v>
      </x:c>
      <x:c r="E9" s="79" t="str">
        <x:f>'Source Grades'!$D$56</x:f>
        <x:v>A-</x:v>
      </x:c>
      <x:c r="F9" s="21" t="n">
        <x:f>'Source Grades'!$E$56</x:f>
        <x:v>3</x:v>
      </x:c>
      <x:c r="G9" s="79" t="n">
        <x:f>'Source Grades'!$D$75</x:f>
        <x:v>91</x:v>
      </x:c>
      <x:c r="H9" s="21" t="n">
        <x:f>'Source Grades'!$E$75</x:f>
        <x:v>3</x:v>
      </x:c>
      <x:c r="I9" s="88" t="str">
        <x:f>'Source Grades'!$D$80</x:f>
        <x:v>C</x:v>
      </x:c>
      <x:c r="J9" s="21" t="n">
        <x:f>'Source Grades'!$E$80</x:f>
        <x:v>8</x:v>
      </x:c>
      <x:c r="K9" s="106" t="n">
        <x:f>AVERAGE(D9,F9,H9,J9)</x:f>
        <x:v>4.25</x:v>
      </x:c>
      <x:c r="L9" s="21" t="n">
        <x:f>MAX(D9,F9,H9,J9)-MIN(D9,F9,H9,J9)</x:f>
        <x:v>5</x:v>
      </x:c>
      <x:c r="M9" s="23" t="n">
        <x:f>AVERAGE('Source Grades'!$F$44,'Source Grades'!$F$56,'Source Grades'!$F$75,'Source Grades'!$F$80)</x:f>
        <x:v>88.5</x:v>
      </x:c>
      <x:c r="N9" s="122" t="str">
        <x:f>VLOOKUP(M9,'Methodology'!$D$13:$E$25,2,TRUE)</x:f>
        <x:v>B+</x:v>
      </x:c>
      <x:c r="O9" s="142" t="str">
        <x:f>IF(L9&gt;=7,"Polarizing — sites span "&amp;TEXT(L9,"0")&amp;" places",IF(K9&lt;=3.5,"Strong consensus — top tier",IF(K9&gt;=9.5,"Consensus lower tier",IF(L9&lt;=3,"Sites largely agree","Mixed evaluations across sites"))))</x:f>
        <x:v>Mixed evaluations across sites</x:v>
      </x:c>
    </x:row>
    <x:row r="10" ht="20.25" customHeight="1">
      <x:c r="A10" s="140" t="n">
        <x:f>RANK(K10,$K$6:$K$17,1)+COUNTIFS($K$6:$K$17,K10,$M$6:$M$17,"&gt;"&amp;M10)</x:f>
        <x:v>5</x:v>
      </x:c>
      <x:c r="B10" s="141" t="str">
        <x:v>Tyson</x:v>
      </x:c>
      <x:c r="C10" s="75" t="n">
        <x:f>'Source Grades'!$D$43</x:f>
        <x:v>100</x:v>
      </x:c>
      <x:c r="D10" s="21" t="n">
        <x:f>'Source Grades'!$E$43</x:f>
        <x:v>2</x:v>
      </x:c>
      <x:c r="E10" s="79" t="str">
        <x:f>'Source Grades'!$D$55</x:f>
        <x:v>A-</x:v>
      </x:c>
      <x:c r="F10" s="21" t="n">
        <x:f>'Source Grades'!$E$55</x:f>
        <x:v>8</x:v>
      </x:c>
      <x:c r="G10" s="93" t="n">
        <x:f>'Source Grades'!$D$71</x:f>
        <x:v>81.9</x:v>
      </x:c>
      <x:c r="H10" s="21" t="n">
        <x:f>'Source Grades'!$E$71</x:f>
        <x:v>7</x:v>
      </x:c>
      <x:c r="I10" s="79" t="str">
        <x:f>'Source Grades'!$D$79</x:f>
        <x:v>A-</x:v>
      </x:c>
      <x:c r="J10" s="21" t="n">
        <x:f>'Source Grades'!$E$79</x:f>
        <x:v>2</x:v>
      </x:c>
      <x:c r="K10" s="106" t="n">
        <x:f>AVERAGE(D10,F10,H10,J10)</x:f>
        <x:v>4.75</x:v>
      </x:c>
      <x:c r="L10" s="21" t="n">
        <x:f>MAX(D10,F10,H10,J10)-MIN(D10,F10,H10,J10)</x:f>
        <x:v>6</x:v>
      </x:c>
      <x:c r="M10" s="23" t="n">
        <x:f>AVERAGE('Source Grades'!$F$43,'Source Grades'!$F$55,'Source Grades'!$F$71,'Source Grades'!$F$79)</x:f>
        <x:v>90.975</x:v>
      </x:c>
      <x:c r="N10" s="123" t="str">
        <x:f>VLOOKUP(M10,'Methodology'!$D$13:$E$25,2,TRUE)</x:f>
        <x:v>A-</x:v>
      </x:c>
      <x:c r="O10" s="142" t="str">
        <x:f>IF(L10&gt;=7,"Polarizing — sites span "&amp;TEXT(L10,"0")&amp;" places",IF(K10&lt;=3.5,"Strong consensus — top tier",IF(K10&gt;=9.5,"Consensus lower tier",IF(L10&lt;=3,"Sites largely agree","Mixed evaluations across sites"))))</x:f>
        <x:v>Mixed evaluations across sites</x:v>
      </x:c>
    </x:row>
    <x:row r="11" ht="20.25" customHeight="1">
      <x:c r="A11" s="140" t="n">
        <x:f>RANK(K11,$K$6:$K$17,1)+COUNTIFS($K$6:$K$17,K11,$M$6:$M$17,"&gt;"&amp;M11)</x:f>
        <x:v>6</x:v>
      </x:c>
      <x:c r="B11" s="141" t="str">
        <x:v>Colton</x:v>
      </x:c>
      <x:c r="C11" s="76" t="n">
        <x:f>'Source Grades'!$D$46</x:f>
        <x:v>93</x:v>
      </x:c>
      <x:c r="D11" s="21" t="n">
        <x:f>'Source Grades'!$E$46</x:f>
        <x:v>5</x:v>
      </x:c>
      <x:c r="E11" s="86" t="str">
        <x:f>'Source Grades'!$D$58</x:f>
        <x:v>D+</x:v>
      </x:c>
      <x:c r="F11" s="21" t="n">
        <x:f>'Source Grades'!$E$58</x:f>
        <x:v>9</x:v>
      </x:c>
      <x:c r="G11" s="94" t="n">
        <x:f>'Source Grades'!$D$76</x:f>
        <x:v>91.6</x:v>
      </x:c>
      <x:c r="H11" s="21" t="n">
        <x:f>'Source Grades'!$E$76</x:f>
        <x:v>2</x:v>
      </x:c>
      <x:c r="I11" s="80" t="str">
        <x:f>'Source Grades'!$D$82</x:f>
        <x:v>B+</x:v>
      </x:c>
      <x:c r="J11" s="21" t="n">
        <x:f>'Source Grades'!$E$82</x:f>
        <x:v>4</x:v>
      </x:c>
      <x:c r="K11" s="106" t="n">
        <x:f>AVERAGE(D11,F11,H11,J11)</x:f>
        <x:v>5</x:v>
      </x:c>
      <x:c r="L11" s="21" t="n">
        <x:f>MAX(D11,F11,H11,J11)-MIN(D11,F11,H11,J11)</x:f>
        <x:v>7</x:v>
      </x:c>
      <x:c r="M11" s="23" t="n">
        <x:f>AVERAGE('Source Grades'!$F$46,'Source Grades'!$F$58,'Source Grades'!$F$76,'Source Grades'!$F$82)</x:f>
        <x:v>85.15</x:v>
      </x:c>
      <x:c r="N11" s="124" t="str">
        <x:f>VLOOKUP(M11,'Methodology'!$D$13:$E$25,2,TRUE)</x:f>
        <x:v>B</x:v>
      </x:c>
      <x:c r="O11" s="142" t="str">
        <x:f>IF(L11&gt;=7,"Polarizing — sites span "&amp;TEXT(L11,"0")&amp;" places",IF(K11&lt;=3.5,"Strong consensus — top tier",IF(K11&gt;=9.5,"Consensus lower tier",IF(L11&lt;=3,"Sites largely agree","Mixed evaluations across sites"))))</x:f>
        <x:v>Polarizing — sites span 7 places</x:v>
      </x:c>
    </x:row>
    <x:row r="12" ht="20.25" customHeight="1">
      <x:c r="A12" s="140" t="n">
        <x:f>RANK(K12,$K$6:$K$17,1)+COUNTIFS($K$6:$K$17,K12,$M$6:$M$17,"&gt;"&amp;M12)</x:f>
        <x:v>7</x:v>
      </x:c>
      <x:c r="B12" s="141" t="str">
        <x:v>ToddA</x:v>
      </x:c>
      <x:c r="C12" s="79" t="n">
        <x:f>'Source Grades'!$D$47</x:f>
        <x:v>91</x:v>
      </x:c>
      <x:c r="D12" s="21" t="n">
        <x:f>'Source Grades'!$E$47</x:f>
        <x:v>6</x:v>
      </x:c>
      <x:c r="E12" s="87" t="str">
        <x:f>'Source Grades'!$D$59</x:f>
        <x:v>D</x:v>
      </x:c>
      <x:c r="F12" s="21" t="n">
        <x:f>'Source Grades'!$E$59</x:f>
        <x:v>11</x:v>
      </x:c>
      <x:c r="G12" s="95" t="n">
        <x:f>'Source Grades'!$D$72</x:f>
        <x:v>83.8</x:v>
      </x:c>
      <x:c r="H12" s="21" t="n">
        <x:f>'Source Grades'!$E$72</x:f>
        <x:v>6</x:v>
      </x:c>
      <x:c r="I12" s="80" t="str">
        <x:f>'Source Grades'!$D$83</x:f>
        <x:v>B+</x:v>
      </x:c>
      <x:c r="J12" s="21" t="n">
        <x:f>'Source Grades'!$E$83</x:f>
        <x:v>3</x:v>
      </x:c>
      <x:c r="K12" s="106" t="n">
        <x:f>AVERAGE(D12,F12,H12,J12)</x:f>
        <x:v>6.5</x:v>
      </x:c>
      <x:c r="L12" s="21" t="n">
        <x:f>MAX(D12,F12,H12,J12)-MIN(D12,F12,H12,J12)</x:f>
        <x:v>8</x:v>
      </x:c>
      <x:c r="M12" s="23" t="n">
        <x:f>AVERAGE('Source Grades'!$F$47,'Source Grades'!$F$59,'Source Grades'!$F$72,'Source Grades'!$F$83)</x:f>
        <x:v>81.95</x:v>
      </x:c>
      <x:c r="N12" s="125" t="str">
        <x:f>VLOOKUP(M12,'Methodology'!$D$13:$E$25,2,TRUE)</x:f>
        <x:v>B-</x:v>
      </x:c>
      <x:c r="O12" s="142" t="str">
        <x:f>IF(L12&gt;=7,"Polarizing — sites span "&amp;TEXT(L12,"0")&amp;" places",IF(K12&lt;=3.5,"Strong consensus — top tier",IF(K12&gt;=9.5,"Consensus lower tier",IF(L12&lt;=3,"Sites largely agree","Mixed evaluations across sites"))))</x:f>
        <x:v>Polarizing — sites span 8 places</x:v>
      </x:c>
    </x:row>
    <x:row r="13" ht="20.25" customHeight="1">
      <x:c r="A13" s="140" t="n">
        <x:f>RANK(K13,$K$6:$K$17,1)+COUNTIFS($K$6:$K$17,K13,$M$6:$M$17,"&gt;"&amp;M13)</x:f>
        <x:v>8</x:v>
      </x:c>
      <x:c r="B13" s="141" t="str">
        <x:v>ToddB</x:v>
      </x:c>
      <x:c r="C13" s="80" t="n">
        <x:f>'Source Grades'!$D$50</x:f>
        <x:v>88</x:v>
      </x:c>
      <x:c r="D13" s="21" t="n">
        <x:f>'Source Grades'!$E$50</x:f>
        <x:v>9</x:v>
      </x:c>
      <x:c r="E13" s="88" t="str">
        <x:f>'Source Grades'!$D$62</x:f>
        <x:v>C</x:v>
      </x:c>
      <x:c r="F13" s="21" t="n">
        <x:f>'Source Grades'!$E$62</x:f>
        <x:v>5</x:v>
      </x:c>
      <x:c r="G13" s="96" t="n">
        <x:f>'Source Grades'!$D$68</x:f>
        <x:v>77.6</x:v>
      </x:c>
      <x:c r="H13" s="21" t="n">
        <x:f>'Source Grades'!$E$68</x:f>
        <x:v>10</x:v>
      </x:c>
      <x:c r="I13" s="102" t="str">
        <x:f>'Source Grades'!$D$86</x:f>
        <x:v>B</x:v>
      </x:c>
      <x:c r="J13" s="21" t="n">
        <x:f>'Source Grades'!$E$86</x:f>
        <x:v>6</x:v>
      </x:c>
      <x:c r="K13" s="106" t="n">
        <x:f>AVERAGE(D13,F13,H13,J13)</x:f>
        <x:v>7.5</x:v>
      </x:c>
      <x:c r="L13" s="21" t="n">
        <x:f>MAX(D13,F13,H13,J13)-MIN(D13,F13,H13,J13)</x:f>
        <x:v>5</x:v>
      </x:c>
      <x:c r="M13" s="23" t="n">
        <x:f>AVERAGE('Source Grades'!$F$50,'Source Grades'!$F$62,'Source Grades'!$F$68,'Source Grades'!$F$86)</x:f>
        <x:v>81.4</x:v>
      </x:c>
      <x:c r="N13" s="126" t="str">
        <x:f>VLOOKUP(M13,'Methodology'!$D$13:$E$25,2,TRUE)</x:f>
        <x:v>B-</x:v>
      </x:c>
      <x:c r="O13" s="142" t="str">
        <x:f>IF(L13&gt;=7,"Polarizing — sites span "&amp;TEXT(L13,"0")&amp;" places",IF(K13&lt;=3.5,"Strong consensus — top tier",IF(K13&gt;=9.5,"Consensus lower tier",IF(L13&lt;=3,"Sites largely agree","Mixed evaluations across sites"))))</x:f>
        <x:v>Mixed evaluations across sites</x:v>
      </x:c>
    </x:row>
    <x:row r="14" ht="20.25" customHeight="1">
      <x:c r="A14" s="140" t="n">
        <x:f>RANK(K14,$K$6:$K$17,1)+COUNTIFS($K$6:$K$17,K14,$M$6:$M$17,"&gt;"&amp;M14)</x:f>
        <x:v>9</x:v>
      </x:c>
      <x:c r="B14" s="141" t="str">
        <x:v>Dallin</x:v>
      </x:c>
      <x:c r="C14" s="81" t="n">
        <x:f>'Source Grades'!$D$49</x:f>
        <x:v>89</x:v>
      </x:c>
      <x:c r="D14" s="21" t="n">
        <x:f>'Source Grades'!$E$49</x:f>
        <x:v>8</x:v>
      </x:c>
      <x:c r="E14" s="88" t="str">
        <x:f>'Source Grades'!$D$61</x:f>
        <x:v>C</x:v>
      </x:c>
      <x:c r="F14" s="21" t="n">
        <x:f>'Source Grades'!$E$61</x:f>
        <x:v>6</x:v>
      </x:c>
      <x:c r="G14" s="97" t="n">
        <x:f>'Source Grades'!$D$69</x:f>
        <x:v>78.6</x:v>
      </x:c>
      <x:c r="H14" s="21" t="n">
        <x:f>'Source Grades'!$E$69</x:f>
        <x:v>9</x:v>
      </x:c>
      <x:c r="I14" s="104" t="str">
        <x:f>'Source Grades'!$D$85</x:f>
        <x:v>C-</x:v>
      </x:c>
      <x:c r="J14" s="21" t="n">
        <x:f>'Source Grades'!$E$85</x:f>
        <x:v>9</x:v>
      </x:c>
      <x:c r="K14" s="106" t="n">
        <x:f>AVERAGE(D14,F14,H14,J14)</x:f>
        <x:v>8</x:v>
      </x:c>
      <x:c r="L14" s="21" t="n">
        <x:f>MAX(D14,F14,H14,J14)-MIN(D14,F14,H14,J14)</x:f>
        <x:v>3</x:v>
      </x:c>
      <x:c r="M14" s="23" t="n">
        <x:f>AVERAGE('Source Grades'!$F$49,'Source Grades'!$F$61,'Source Grades'!$F$69,'Source Grades'!$F$85)</x:f>
        <x:v>78.4</x:v>
      </x:c>
      <x:c r="N14" s="127" t="str">
        <x:f>VLOOKUP(M14,'Methodology'!$D$13:$E$25,2,TRUE)</x:f>
        <x:v>C+</x:v>
      </x:c>
      <x:c r="O14" s="142" t="str">
        <x:f>IF(L14&gt;=7,"Polarizing — sites span "&amp;TEXT(L14,"0")&amp;" places",IF(K14&lt;=3.5,"Strong consensus — top tier",IF(K14&gt;=9.5,"Consensus lower tier",IF(L14&lt;=3,"Sites largely agree","Mixed evaluations across sites"))))</x:f>
        <x:v>Sites largely agree</x:v>
      </x:c>
    </x:row>
    <x:row r="15" ht="20.25" customHeight="1">
      <x:c r="A15" s="140" t="n">
        <x:f>RANK(K15,$K$6:$K$17,1)+COUNTIFS($K$6:$K$17,K15,$M$6:$M$17,"&gt;"&amp;M15)</x:f>
        <x:v>10</x:v>
      </x:c>
      <x:c r="B15" s="141" t="str">
        <x:v>Tyler</x:v>
      </x:c>
      <x:c r="C15" s="82" t="n">
        <x:f>'Source Grades'!$D$51</x:f>
        <x:v>84</x:v>
      </x:c>
      <x:c r="D15" s="21" t="n">
        <x:f>'Source Grades'!$E$51</x:f>
        <x:v>10</x:v>
      </x:c>
      <x:c r="E15" s="88" t="str">
        <x:f>'Source Grades'!$D$63</x:f>
        <x:v>C</x:v>
      </x:c>
      <x:c r="F15" s="21" t="n">
        <x:f>'Source Grades'!$E$63</x:f>
        <x:v>7</x:v>
      </x:c>
      <x:c r="G15" s="98" t="n">
        <x:f>'Source Grades'!$D$70</x:f>
        <x:v>79.2</x:v>
      </x:c>
      <x:c r="H15" s="21" t="n">
        <x:f>'Source Grades'!$E$70</x:f>
        <x:v>8</x:v>
      </x:c>
      <x:c r="I15" s="87" t="str">
        <x:f>'Source Grades'!$D$87</x:f>
        <x:v>D</x:v>
      </x:c>
      <x:c r="J15" s="21" t="n">
        <x:f>'Source Grades'!$E$87</x:f>
        <x:v>10</x:v>
      </x:c>
      <x:c r="K15" s="106" t="n">
        <x:f>AVERAGE(D15,F15,H15,J15)</x:f>
        <x:v>8.75</x:v>
      </x:c>
      <x:c r="L15" s="21" t="n">
        <x:f>MAX(D15,F15,H15,J15)-MIN(D15,F15,H15,J15)</x:f>
        <x:v>3</x:v>
      </x:c>
      <x:c r="M15" s="23" t="n">
        <x:f>AVERAGE('Source Grades'!$F$51,'Source Grades'!$F$63,'Source Grades'!$F$70,'Source Grades'!$F$87)</x:f>
        <x:v>75.8</x:v>
      </x:c>
      <x:c r="N15" s="128" t="str">
        <x:f>VLOOKUP(M15,'Methodology'!$D$13:$E$25,2,TRUE)</x:f>
        <x:v>C</x:v>
      </x:c>
      <x:c r="O15" s="142" t="str">
        <x:f>IF(L15&gt;=7,"Polarizing — sites span "&amp;TEXT(L15,"0")&amp;" places",IF(K15&lt;=3.5,"Strong consensus — top tier",IF(K15&gt;=9.5,"Consensus lower tier",IF(L15&lt;=3,"Sites largely agree","Mixed evaluations across sites"))))</x:f>
        <x:v>Sites largely agree</x:v>
      </x:c>
    </x:row>
    <x:row r="16" ht="20.25" customHeight="1">
      <x:c r="A16" s="140" t="n">
        <x:f>RANK(K16,$K$6:$K$17,1)+COUNTIFS($K$6:$K$17,K16,$M$6:$M$17,"&gt;"&amp;M16)</x:f>
        <x:v>11</x:v>
      </x:c>
      <x:c r="B16" s="141" t="str">
        <x:v>Woody</x:v>
      </x:c>
      <x:c r="C16" s="83" t="n">
        <x:f>'Source Grades'!$D$52</x:f>
        <x:v>76</x:v>
      </x:c>
      <x:c r="D16" s="21" t="n">
        <x:f>'Source Grades'!$E$52</x:f>
        <x:v>11</x:v>
      </x:c>
      <x:c r="E16" s="86" t="str">
        <x:f>'Source Grades'!$D$64</x:f>
        <x:v>D+</x:v>
      </x:c>
      <x:c r="F16" s="21" t="n">
        <x:f>'Source Grades'!$E$64</x:f>
        <x:v>10</x:v>
      </x:c>
      <x:c r="G16" s="99" t="n">
        <x:f>'Source Grades'!$D$67</x:f>
        <x:v>74.7</x:v>
      </x:c>
      <x:c r="H16" s="21" t="n">
        <x:f>'Source Grades'!$E$67</x:f>
        <x:v>11</x:v>
      </x:c>
      <x:c r="I16" s="89" t="str">
        <x:f>'Source Grades'!$D$88</x:f>
        <x:v>F</x:v>
      </x:c>
      <x:c r="J16" s="21" t="n">
        <x:f>'Source Grades'!$E$88</x:f>
        <x:v>12</x:v>
      </x:c>
      <x:c r="K16" s="106" t="n">
        <x:f>AVERAGE(D16,F16,H16,J16)</x:f>
        <x:v>11</x:v>
      </x:c>
      <x:c r="L16" s="21" t="n">
        <x:f>MAX(D16,F16,H16,J16)-MIN(D16,F16,H16,J16)</x:f>
        <x:v>2</x:v>
      </x:c>
      <x:c r="M16" s="23" t="n">
        <x:f>AVERAGE('Source Grades'!$F$52,'Source Grades'!$F$64,'Source Grades'!$F$67,'Source Grades'!$F$88)</x:f>
        <x:v>68.425</x:v>
      </x:c>
      <x:c r="N16" s="129" t="str">
        <x:f>VLOOKUP(M16,'Methodology'!$D$13:$E$25,2,TRUE)</x:f>
        <x:v>D+</x:v>
      </x:c>
      <x:c r="O16" s="142" t="str">
        <x:f>IF(L16&gt;=7,"Polarizing — sites span "&amp;TEXT(L16,"0")&amp;" places",IF(K16&lt;=3.5,"Strong consensus — top tier",IF(K16&gt;=9.5,"Consensus lower tier",IF(L16&lt;=3,"Sites largely agree","Mixed evaluations across sites"))))</x:f>
        <x:v>Consensus lower tier</x:v>
      </x:c>
    </x:row>
    <x:row r="17" ht="20.25" customHeight="1">
      <x:c r="A17" s="143" t="n">
        <x:f>RANK(K17,$K$6:$K$17,1)+COUNTIFS($K$6:$K$17,K17,$M$6:$M$17,"&gt;"&amp;M17)</x:f>
        <x:v>12</x:v>
      </x:c>
      <x:c r="B17" s="144" t="str">
        <x:v>Reyes</x:v>
      </x:c>
      <x:c r="C17" s="145" t="n">
        <x:f>'Source Grades'!$D$53</x:f>
        <x:v>73</x:v>
      </x:c>
      <x:c r="D17" s="146" t="n">
        <x:f>'Source Grades'!$E$53</x:f>
        <x:v>12</x:v>
      </x:c>
      <x:c r="E17" s="147" t="str">
        <x:f>'Source Grades'!$D$65</x:f>
        <x:v>F</x:v>
      </x:c>
      <x:c r="F17" s="146" t="n">
        <x:f>'Source Grades'!$E$65</x:f>
        <x:v>12</x:v>
      </x:c>
      <x:c r="G17" s="148" t="n">
        <x:f>'Source Grades'!$D$66</x:f>
        <x:v>70.9</x:v>
      </x:c>
      <x:c r="H17" s="146" t="n">
        <x:f>'Source Grades'!$E$66</x:f>
        <x:v>12</x:v>
      </x:c>
      <x:c r="I17" s="149" t="str">
        <x:f>'Source Grades'!$D$89</x:f>
        <x:v>D</x:v>
      </x:c>
      <x:c r="J17" s="146" t="n">
        <x:f>'Source Grades'!$E$89</x:f>
        <x:v>11</x:v>
      </x:c>
      <x:c r="K17" s="150" t="n">
        <x:f>AVERAGE(D17,F17,H17,J17)</x:f>
        <x:v>11.75</x:v>
      </x:c>
      <x:c r="L17" s="146" t="n">
        <x:f>MAX(D17,F17,H17,J17)-MIN(D17,F17,H17,J17)</x:f>
        <x:v>1</x:v>
      </x:c>
      <x:c r="M17" s="151" t="n">
        <x:f>AVERAGE('Source Grades'!$F$53,'Source Grades'!$F$65,'Source Grades'!$F$66,'Source Grades'!$F$89)</x:f>
        <x:v>65.975</x:v>
      </x:c>
      <x:c r="N17" s="152" t="str">
        <x:f>VLOOKUP(M17,'Methodology'!$D$13:$E$25,2,TRUE)</x:f>
        <x:v>D</x:v>
      </x:c>
      <x:c r="O17" s="153" t="str">
        <x:f>IF(L17&gt;=7,"Polarizing — sites span "&amp;TEXT(L17,"0")&amp;" places",IF(K17&lt;=3.5,"Strong consensus — top tier",IF(K17&gt;=9.5,"Consensus lower tier",IF(L17&lt;=3,"Sites largely agree","Mixed evaluations across sites"))))</x:f>
        <x:v>Consensus lower tier</x:v>
      </x:c>
    </x:row>
  </x:sheetData>
  <x:mergeCells>
    <x:mergeCell ref="A1:O1"/>
    <x:mergeCell ref="A2:O2"/>
    <x:mergeCell ref="C4:D4"/>
    <x:mergeCell ref="E4:F4"/>
    <x:mergeCell ref="G4:H4"/>
    <x:mergeCell ref="I4:J4"/>
    <x:mergeCell ref="K4:O4"/>
  </x:mergeCells>
  <x:conditionalFormatting sqref="D6:D17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F6:F17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H6:H17">
    <x:cfRule type="colorScale" priority="3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J6:J17">
    <x:cfRule type="colorScale" priority="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6:A17">
    <x:cfRule type="colorScale" priority="5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K6:K17">
    <x:cfRule type="colorScale" priority="6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M6:M17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c4d67b68c7e41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8799991607666" hidden="0" customWidth="1"/>
    <x:col min="3" max="3" width="10" hidden="0" customWidth="1"/>
    <x:col min="4" max="4" width="7.75" hidden="0" customWidth="1"/>
    <x:col min="5" max="5" width="10" hidden="0" customWidth="1"/>
    <x:col min="6" max="6" width="7.75" hidden="0" customWidth="1"/>
    <x:col min="7" max="7" width="10" hidden="0" customWidth="1"/>
    <x:col min="8" max="8" width="7.75" hidden="0" customWidth="1"/>
    <x:col min="9" max="9" width="12.5" hidden="0" customWidth="1"/>
    <x:col min="10" max="10" width="10.75" hidden="0" customWidth="1"/>
    <x:col min="11" max="11" width="13.5" hidden="0" customWidth="1"/>
    <x:col min="12" max="12" width="14" hidden="0" customWidth="1"/>
    <x:col min="13" max="13" width="33.75" hidden="0" customWidth="1"/>
  </x:cols>
  <x:sheetData>
    <x:row r="1" ht="30" customHeight="1">
      <x:c r="A1" s="3" t="str">
        <x:v>Auction draft consensus grades</x:v>
      </x:c>
      <x:c r="B1" s="3" t="str">
        <x:v>Auction draft consensus grades</x:v>
      </x:c>
      <x:c r="C1" s="3" t="str">
        <x:v>Auction draft consensus grades</x:v>
      </x:c>
      <x:c r="D1" s="3" t="str">
        <x:v>Auction draft consensus grades</x:v>
      </x:c>
      <x:c r="E1" s="3" t="str">
        <x:v>Auction draft consensus grades</x:v>
      </x:c>
      <x:c r="F1" s="3" t="str">
        <x:v>Auction draft consensus grades</x:v>
      </x:c>
      <x:c r="G1" s="3" t="str">
        <x:v>Auction draft consensus grades</x:v>
      </x:c>
      <x:c r="H1" s="3" t="str">
        <x:v>Auction draft consensus grades</x:v>
      </x:c>
      <x:c r="I1" s="3" t="str">
        <x:v>Auction draft consensus grades</x:v>
      </x:c>
      <x:c r="J1" s="3" t="str">
        <x:v>Auction draft consensus grades</x:v>
      </x:c>
      <x:c r="K1" s="3" t="str">
        <x:v>Auction draft consensus grades</x:v>
      </x:c>
      <x:c r="L1" s="3" t="str">
        <x:v>Auction draft consensus grades</x:v>
      </x:c>
      <x:c r="M1" s="3" t="str">
        <x:v>Auction draft consensus grades</x:v>
      </x:c>
    </x:row>
    <x:row r="2" ht="25.5" customHeight="1">
      <x:c r="A2" s="7" t="str">
        <x:v>3 sources · original grades retained · consensus ordered by average published rank</x:v>
      </x:c>
      <x:c r="B2" s="7" t="str">
        <x:v>3 sources · original grades retained · consensus ordered by average published rank</x:v>
      </x:c>
      <x:c r="C2" s="7" t="str">
        <x:v>3 sources · original grades retained · consensus ordered by average published rank</x:v>
      </x:c>
      <x:c r="D2" s="7" t="str">
        <x:v>3 sources · original grades retained · consensus ordered by average published rank</x:v>
      </x:c>
      <x:c r="E2" s="7" t="str">
        <x:v>3 sources · original grades retained · consensus ordered by average published rank</x:v>
      </x:c>
      <x:c r="F2" s="7" t="str">
        <x:v>3 sources · original grades retained · consensus ordered by average published rank</x:v>
      </x:c>
      <x:c r="G2" s="7" t="str">
        <x:v>3 sources · original grades retained · consensus ordered by average published rank</x:v>
      </x:c>
      <x:c r="H2" s="7" t="str">
        <x:v>3 sources · original grades retained · consensus ordered by average published rank</x:v>
      </x:c>
      <x:c r="I2" s="7" t="str">
        <x:v>3 sources · original grades retained · consensus ordered by average published rank</x:v>
      </x:c>
      <x:c r="J2" s="7" t="str">
        <x:v>3 sources · original grades retained · consensus ordered by average published rank</x:v>
      </x:c>
      <x:c r="K2" s="7" t="str">
        <x:v>3 sources · original grades retained · consensus ordered by average published rank</x:v>
      </x:c>
      <x:c r="L2" s="7" t="str">
        <x:v>3 sources · original grades retained · consensus ordered by average published rank</x:v>
      </x:c>
      <x:c r="M2" s="7" t="str">
        <x:v>3 sources · original grades retained · consensus ordered by average published rank</x:v>
      </x:c>
    </x:row>
    <x:row r="4">
      <x:c r="A4" s="133" t="str">
        <x:v>Consensus</x:v>
      </x:c>
      <x:c r="B4" s="134" t="str"/>
      <x:c r="C4" s="135" t="str">
        <x:v>FantasyPros</x:v>
      </x:c>
      <x:c r="D4" s="135" t="str">
        <x:v>FantasyPros</x:v>
      </x:c>
      <x:c r="E4" s="135" t="str">
        <x:v>FanDraft</x:v>
      </x:c>
      <x:c r="F4" s="135" t="str">
        <x:v>FanDraft</x:v>
      </x:c>
      <x:c r="G4" s="135" t="str">
        <x:v>McCade's</x:v>
      </x:c>
      <x:c r="H4" s="135" t="str">
        <x:v>McCade's</x:v>
      </x:c>
      <x:c r="I4" s="136" t="str">
        <x:v>Cross-site consensus</x:v>
      </x:c>
      <x:c r="J4" s="136" t="str">
        <x:v>Cross-site consensus</x:v>
      </x:c>
      <x:c r="K4" s="136" t="str">
        <x:v>Cross-site consensus</x:v>
      </x:c>
      <x:c r="L4" s="136" t="str">
        <x:v>Cross-site consensus</x:v>
      </x:c>
      <x:c r="M4" s="137" t="str">
        <x:v>Cross-site consensus</x:v>
      </x:c>
    </x:row>
    <x:row r="5" ht="28.5" customHeight="1">
      <x:c r="A5" s="138" t="str">
        <x:v>Consensus Rank</x:v>
      </x:c>
      <x:c r="B5" s="31" t="str">
        <x:v>Team</x:v>
      </x:c>
      <x:c r="C5" s="31" t="str">
        <x:v>Grade</x:v>
      </x:c>
      <x:c r="D5" s="31" t="str">
        <x:v>Rank</x:v>
      </x:c>
      <x:c r="E5" s="31" t="str">
        <x:v>Grade</x:v>
      </x:c>
      <x:c r="F5" s="31" t="str">
        <x:v>Rank</x:v>
      </x:c>
      <x:c r="G5" s="31" t="str">
        <x:v>Grade</x:v>
      </x:c>
      <x:c r="H5" s="31" t="str">
        <x:v>Rank</x:v>
      </x:c>
      <x:c r="I5" s="31" t="str">
        <x:v>Average Rank</x:v>
      </x:c>
      <x:c r="J5" s="31" t="str">
        <x:v>Rank Spread</x:v>
      </x:c>
      <x:c r="K5" s="31" t="str">
        <x:v>Avg Grade Score</x:v>
      </x:c>
      <x:c r="L5" s="31" t="str">
        <x:v>Consensus Grade</x:v>
      </x:c>
      <x:c r="M5" s="139" t="str">
        <x:v>Notes</x:v>
      </x:c>
    </x:row>
    <x:row r="6" ht="20.25" customHeight="1">
      <x:c r="A6" s="140" t="n">
        <x:f>RANK(I6,$I$6:$I$17,1)+COUNTIFS($I$6:$I$17,I6,$K$6:$K$17,"&gt;"&amp;K6)</x:f>
        <x:v>1</x:v>
      </x:c>
      <x:c r="B6" s="141" t="str">
        <x:v>Dallin</x:v>
      </x:c>
      <x:c r="C6" s="76" t="n">
        <x:f>'Source Grades'!$D$14</x:f>
        <x:v>93</x:v>
      </x:c>
      <x:c r="D6" s="21" t="n">
        <x:f>'Source Grades'!$E$14</x:f>
        <x:v>4</x:v>
      </x:c>
      <x:c r="E6" s="103" t="str">
        <x:f>'Source Grades'!$D$25</x:f>
        <x:v>A</x:v>
      </x:c>
      <x:c r="F6" s="21" t="n">
        <x:f>'Source Grades'!$E$25</x:f>
        <x:v>1</x:v>
      </x:c>
      <x:c r="G6" s="94" t="n">
        <x:f>'Source Grades'!$D$37</x:f>
        <x:v>91.7</x:v>
      </x:c>
      <x:c r="H6" s="21" t="n">
        <x:f>'Source Grades'!$E$37</x:f>
        <x:v>2</x:v>
      </x:c>
      <x:c r="I6" s="106" t="n">
        <x:f>AVERAGE(D6,F6,H6)</x:f>
        <x:v>2.3333333333333335</x:v>
      </x:c>
      <x:c r="J6" s="21" t="n">
        <x:f>MAX(D6,F6,H6)-MIN(D6,F6,H6)</x:f>
        <x:v>3</x:v>
      </x:c>
      <x:c r="K6" s="23" t="n">
        <x:f>AVERAGE('Source Grades'!$F$14,'Source Grades'!$F$25,'Source Grades'!$F$37)</x:f>
        <x:v>93.23333333333333</x:v>
      </x:c>
      <x:c r="L6" s="202" t="str">
        <x:f>VLOOKUP(K6,'Methodology'!$D$13:$E$25,2,TRUE)</x:f>
        <x:v>A</x:v>
      </x:c>
      <x:c r="M6" s="142" t="str">
        <x:f>IF(J6&gt;=7,"Polarizing — sites span "&amp;TEXT(J6,"0")&amp;" places",IF(I6&lt;=3.5,"Strong consensus — top tier",IF(I6&gt;=9.5,"Consensus lower tier",IF(J6&lt;=3,"Sites largely agree","Mixed evaluations across sites"))))</x:f>
        <x:v>Strong consensus — top tier</x:v>
      </x:c>
    </x:row>
    <x:row r="7" ht="20.25" customHeight="1">
      <x:c r="A7" s="140" t="n">
        <x:f>RANK(I7,$I$6:$I$17,1)+COUNTIFS($I$6:$I$17,I7,$K$6:$K$17,"&gt;"&amp;K7)</x:f>
        <x:v>2</x:v>
      </x:c>
      <x:c r="B7" s="141" t="str">
        <x:v>Kyle</x:v>
      </x:c>
      <x:c r="C7" s="177" t="n">
        <x:f>'Source Grades'!$D$16</x:f>
        <x:v>99</x:v>
      </x:c>
      <x:c r="D7" s="21" t="n">
        <x:f>'Source Grades'!$E$16</x:f>
        <x:v>2</x:v>
      </x:c>
      <x:c r="E7" s="102" t="str">
        <x:f>'Source Grades'!$D$19</x:f>
        <x:v>B</x:v>
      </x:c>
      <x:c r="F7" s="21" t="n">
        <x:f>'Source Grades'!$E$19</x:f>
        <x:v>5</x:v>
      </x:c>
      <x:c r="G7" s="182" t="n">
        <x:f>'Source Grades'!$D$31</x:f>
        <x:v>94.8</x:v>
      </x:c>
      <x:c r="H7" s="21" t="n">
        <x:f>'Source Grades'!$E$31</x:f>
        <x:v>1</x:v>
      </x:c>
      <x:c r="I7" s="106" t="n">
        <x:f>AVERAGE(D7,F7,H7)</x:f>
        <x:v>2.6666666666666665</x:v>
      </x:c>
      <x:c r="J7" s="21" t="n">
        <x:f>MAX(D7,F7,H7)-MIN(D7,F7,H7)</x:f>
        <x:v>4</x:v>
      </x:c>
      <x:c r="K7" s="23" t="n">
        <x:f>AVERAGE('Source Grades'!$F$16,'Source Grades'!$F$19,'Source Grades'!$F$31)</x:f>
        <x:v>92.93333333333334</x:v>
      </x:c>
      <x:c r="L7" s="203" t="str">
        <x:f>VLOOKUP(K7,'Methodology'!$D$13:$E$25,2,TRUE)</x:f>
        <x:v>A-</x:v>
      </x:c>
      <x:c r="M7" s="142" t="str">
        <x:f>IF(J7&gt;=7,"Polarizing — sites span "&amp;TEXT(J7,"0")&amp;" places",IF(I7&lt;=3.5,"Strong consensus — top tier",IF(I7&gt;=9.5,"Consensus lower tier",IF(J7&lt;=3,"Sites largely agree","Mixed evaluations across sites"))))</x:f>
        <x:v>Strong consensus — top tier</x:v>
      </x:c>
    </x:row>
    <x:row r="8" ht="20.25" customHeight="1">
      <x:c r="A8" s="140" t="n">
        <x:f>RANK(I8,$I$6:$I$17,1)+COUNTIFS($I$6:$I$17,I8,$K$6:$K$17,"&gt;"&amp;K8)</x:f>
        <x:v>3</x:v>
      </x:c>
      <x:c r="B8" s="141" t="str">
        <x:v>Shane</x:v>
      </x:c>
      <x:c r="C8" s="75" t="n">
        <x:f>'Source Grades'!$D$17</x:f>
        <x:v>100</x:v>
      </x:c>
      <x:c r="D8" s="21" t="n">
        <x:f>'Source Grades'!$E$17</x:f>
        <x:v>1</x:v>
      </x:c>
      <x:c r="E8" s="80" t="str">
        <x:f>'Source Grades'!$D$24</x:f>
        <x:v>B+</x:v>
      </x:c>
      <x:c r="F8" s="21" t="n">
        <x:f>'Source Grades'!$E$24</x:f>
        <x:v>4</x:v>
      </x:c>
      <x:c r="G8" s="183" t="n">
        <x:f>'Source Grades'!$D$36</x:f>
        <x:v>81.3</x:v>
      </x:c>
      <x:c r="H8" s="21" t="n">
        <x:f>'Source Grades'!$E$36</x:f>
        <x:v>6</x:v>
      </x:c>
      <x:c r="I8" s="106" t="n">
        <x:f>AVERAGE(D8,F8,H8)</x:f>
        <x:v>3.6666666666666665</x:v>
      </x:c>
      <x:c r="J8" s="21" t="n">
        <x:f>MAX(D8,F8,H8)-MIN(D8,F8,H8)</x:f>
        <x:v>5</x:v>
      </x:c>
      <x:c r="K8" s="23" t="n">
        <x:f>AVERAGE('Source Grades'!$F$17,'Source Grades'!$F$24,'Source Grades'!$F$36)</x:f>
        <x:v>89.76666666666667</x:v>
      </x:c>
      <x:c r="L8" s="204" t="str">
        <x:f>VLOOKUP(K8,'Methodology'!$D$13:$E$25,2,TRUE)</x:f>
        <x:v>B+</x:v>
      </x:c>
      <x:c r="M8" s="142" t="str">
        <x:f>IF(J8&gt;=7,"Polarizing — sites span "&amp;TEXT(J8,"0")&amp;" places",IF(I8&lt;=3.5,"Strong consensus — top tier",IF(I8&gt;=9.5,"Consensus lower tier",IF(J8&lt;=3,"Sites largely agree","Mixed evaluations across sites"))))</x:f>
        <x:v>Mixed evaluations across sites</x:v>
      </x:c>
    </x:row>
    <x:row r="9" ht="20.25" customHeight="1">
      <x:c r="A9" s="140" t="n">
        <x:f>RANK(I9,$I$6:$I$17,1)+COUNTIFS($I$6:$I$17,I9,$K$6:$K$17,"&gt;"&amp;K9)</x:f>
        <x:v>4</x:v>
      </x:c>
      <x:c r="B9" s="141" t="str">
        <x:v>Tyler</x:v>
      </x:c>
      <x:c r="C9" s="103" t="n">
        <x:f>'Source Grades'!$D$15</x:f>
        <x:v>95</x:v>
      </x:c>
      <x:c r="D9" s="21" t="n">
        <x:f>'Source Grades'!$E$15</x:f>
        <x:v>3</x:v>
      </x:c>
      <x:c r="E9" s="79" t="str">
        <x:f>'Source Grades'!$D$27</x:f>
        <x:v>A-</x:v>
      </x:c>
      <x:c r="F9" s="21" t="n">
        <x:f>'Source Grades'!$E$27</x:f>
        <x:v>2</x:v>
      </x:c>
      <x:c r="G9" s="184" t="n">
        <x:f>'Source Grades'!$D$39</x:f>
        <x:v>79.8</x:v>
      </x:c>
      <x:c r="H9" s="21" t="n">
        <x:f>'Source Grades'!$E$39</x:f>
        <x:v>8</x:v>
      </x:c>
      <x:c r="I9" s="106" t="n">
        <x:f>AVERAGE(D9,F9,H9)</x:f>
        <x:v>4.333333333333333</x:v>
      </x:c>
      <x:c r="J9" s="21" t="n">
        <x:f>MAX(D9,F9,H9)-MIN(D9,F9,H9)</x:f>
        <x:v>6</x:v>
      </x:c>
      <x:c r="K9" s="23" t="n">
        <x:f>AVERAGE('Source Grades'!$F$15,'Source Grades'!$F$27,'Source Grades'!$F$39)</x:f>
        <x:v>88.60000000000001</x:v>
      </x:c>
      <x:c r="L9" s="205" t="str">
        <x:f>VLOOKUP(K9,'Methodology'!$D$13:$E$25,2,TRUE)</x:f>
        <x:v>B+</x:v>
      </x:c>
      <x:c r="M9" s="142" t="str">
        <x:f>IF(J9&gt;=7,"Polarizing — sites span "&amp;TEXT(J9,"0")&amp;" places",IF(I9&lt;=3.5,"Strong consensus — top tier",IF(I9&gt;=9.5,"Consensus lower tier",IF(J9&lt;=3,"Sites largely agree","Mixed evaluations across sites"))))</x:f>
        <x:v>Mixed evaluations across sites</x:v>
      </x:c>
    </x:row>
    <x:row r="10" ht="20.25" customHeight="1">
      <x:c r="A10" s="140" t="n">
        <x:f>RANK(I10,$I$6:$I$17,1)+COUNTIFS($I$6:$I$17,I10,$K$6:$K$17,"&gt;"&amp;K10)</x:f>
        <x:v>5</x:v>
      </x:c>
      <x:c r="B10" s="141" t="str">
        <x:v>Carson</x:v>
      </x:c>
      <x:c r="C10" s="178" t="n">
        <x:f>'Source Grades'!$D$9</x:f>
        <x:v>83</x:v>
      </x:c>
      <x:c r="D10" s="21" t="n">
        <x:f>'Source Grades'!$E$9</x:f>
        <x:v>9</x:v>
      </x:c>
      <x:c r="E10" s="80" t="str">
        <x:f>'Source Grades'!$D$18</x:f>
        <x:v>B+</x:v>
      </x:c>
      <x:c r="F10" s="21" t="n">
        <x:f>'Source Grades'!$E$18</x:f>
        <x:v>3</x:v>
      </x:c>
      <x:c r="G10" s="185" t="n">
        <x:f>'Source Grades'!$D$30</x:f>
        <x:v>84.7</x:v>
      </x:c>
      <x:c r="H10" s="21" t="n">
        <x:f>'Source Grades'!$E$30</x:f>
        <x:v>5</x:v>
      </x:c>
      <x:c r="I10" s="106" t="n">
        <x:f>AVERAGE(D10,F10,H10)</x:f>
        <x:v>5.666666666666667</x:v>
      </x:c>
      <x:c r="J10" s="21" t="n">
        <x:f>MAX(D10,F10,H10)-MIN(D10,F10,H10)</x:f>
        <x:v>6</x:v>
      </x:c>
      <x:c r="K10" s="23" t="n">
        <x:f>AVERAGE('Source Grades'!$F$9,'Source Grades'!$F$18,'Source Grades'!$F$30)</x:f>
        <x:v>85.23333333333333</x:v>
      </x:c>
      <x:c r="L10" s="206" t="str">
        <x:f>VLOOKUP(K10,'Methodology'!$D$13:$E$25,2,TRUE)</x:f>
        <x:v>B</x:v>
      </x:c>
      <x:c r="M10" s="142" t="str">
        <x:f>IF(J10&gt;=7,"Polarizing — sites span "&amp;TEXT(J10,"0")&amp;" places",IF(I10&lt;=3.5,"Strong consensus — top tier",IF(I10&gt;=9.5,"Consensus lower tier",IF(J10&lt;=3,"Sites largely agree","Mixed evaluations across sites"))))</x:f>
        <x:v>Mixed evaluations across sites</x:v>
      </x:c>
    </x:row>
    <x:row r="11" ht="20.25" customHeight="1">
      <x:c r="A11" s="140" t="n">
        <x:f>RANK(I11,$I$6:$I$17,1)+COUNTIFS($I$6:$I$17,I11,$K$6:$K$17,"&gt;"&amp;K11)</x:f>
        <x:v>6</x:v>
      </x:c>
      <x:c r="B11" s="141" t="str">
        <x:v>McCade</x:v>
      </x:c>
      <x:c r="C11" s="77" t="n">
        <x:f>'Source Grades'!$D$13</x:f>
        <x:v>90</x:v>
      </x:c>
      <x:c r="D11" s="21" t="n">
        <x:f>'Source Grades'!$E$13</x:f>
        <x:v>5</x:v>
      </x:c>
      <x:c r="E11" s="104" t="str">
        <x:f>'Source Grades'!$D$20</x:f>
        <x:v>C-</x:v>
      </x:c>
      <x:c r="F11" s="21" t="n">
        <x:f>'Source Grades'!$E$20</x:f>
        <x:v>9</x:v>
      </x:c>
      <x:c r="G11" s="186" t="n">
        <x:f>'Source Grades'!$D$32</x:f>
        <x:v>85.3</x:v>
      </x:c>
      <x:c r="H11" s="21" t="n">
        <x:f>'Source Grades'!$E$32</x:f>
        <x:v>4</x:v>
      </x:c>
      <x:c r="I11" s="106" t="n">
        <x:f>AVERAGE(D11,F11,H11)</x:f>
        <x:v>6</x:v>
      </x:c>
      <x:c r="J11" s="21" t="n">
        <x:f>MAX(D11,F11,H11)-MIN(D11,F11,H11)</x:f>
        <x:v>5</x:v>
      </x:c>
      <x:c r="K11" s="23" t="n">
        <x:f>AVERAGE('Source Grades'!$F$13,'Source Grades'!$F$20,'Source Grades'!$F$32)</x:f>
        <x:v>82.10000000000001</x:v>
      </x:c>
      <x:c r="L11" s="207" t="str">
        <x:f>VLOOKUP(K11,'Methodology'!$D$13:$E$25,2,TRUE)</x:f>
        <x:v>B-</x:v>
      </x:c>
      <x:c r="M11" s="142" t="str">
        <x:f>IF(J11&gt;=7,"Polarizing — sites span "&amp;TEXT(J11,"0")&amp;" places",IF(I11&lt;=3.5,"Strong consensus — top tier",IF(I11&gt;=9.5,"Consensus lower tier",IF(J11&lt;=3,"Sites largely agree","Mixed evaluations across sites"))))</x:f>
        <x:v>Mixed evaluations across sites</x:v>
      </x:c>
    </x:row>
    <x:row r="12" ht="20.25" customHeight="1">
      <x:c r="A12" s="140" t="n">
        <x:f>RANK(I12,$I$6:$I$17,1)+COUNTIFS($I$6:$I$17,I12,$K$6:$K$17,"&gt;"&amp;K12)</x:f>
        <x:v>7</x:v>
      </x:c>
      <x:c r="B12" s="141" t="str">
        <x:v>ToddB</x:v>
      </x:c>
      <x:c r="C12" s="82" t="n">
        <x:f>'Source Grades'!$D$10</x:f>
        <x:v>84</x:v>
      </x:c>
      <x:c r="D12" s="21" t="n">
        <x:f>'Source Grades'!$E$10</x:f>
        <x:v>8</x:v>
      </x:c>
      <x:c r="E12" s="102" t="str">
        <x:f>'Source Grades'!$D$26</x:f>
        <x:v>B</x:v>
      </x:c>
      <x:c r="F12" s="21" t="n">
        <x:f>'Source Grades'!$E$26</x:f>
        <x:v>6</x:v>
      </x:c>
      <x:c r="G12" s="187" t="n">
        <x:f>'Source Grades'!$D$38</x:f>
        <x:v>80.8</x:v>
      </x:c>
      <x:c r="H12" s="21" t="n">
        <x:f>'Source Grades'!$E$38</x:f>
        <x:v>7</x:v>
      </x:c>
      <x:c r="I12" s="106" t="n">
        <x:f>AVERAGE(D12,F12,H12)</x:f>
        <x:v>7</x:v>
      </x:c>
      <x:c r="J12" s="21" t="n">
        <x:f>MAX(D12,F12,H12)-MIN(D12,F12,H12)</x:f>
        <x:v>2</x:v>
      </x:c>
      <x:c r="K12" s="23" t="n">
        <x:f>AVERAGE('Source Grades'!$F$10,'Source Grades'!$F$26,'Source Grades'!$F$38)</x:f>
        <x:v>83.26666666666667</x:v>
      </x:c>
      <x:c r="L12" s="208" t="str">
        <x:f>VLOOKUP(K12,'Methodology'!$D$13:$E$25,2,TRUE)</x:f>
        <x:v>B</x:v>
      </x:c>
      <x:c r="M12" s="142" t="str">
        <x:f>IF(J12&gt;=7,"Polarizing — sites span "&amp;TEXT(J12,"0")&amp;" places",IF(I12&lt;=3.5,"Strong consensus — top tier",IF(I12&gt;=9.5,"Consensus lower tier",IF(J12&lt;=3,"Sites largely agree","Mixed evaluations across sites"))))</x:f>
        <x:v>Sites largely agree</x:v>
      </x:c>
    </x:row>
    <x:row r="13" ht="20.25" customHeight="1">
      <x:c r="A13" s="140" t="n">
        <x:f>RANK(I13,$I$6:$I$17,1)+COUNTIFS($I$6:$I$17,I13,$K$6:$K$17,"&gt;"&amp;K13)</x:f>
        <x:v>8</x:v>
      </x:c>
      <x:c r="B13" s="141" t="str">
        <x:v>Kristin</x:v>
      </x:c>
      <x:c r="C13" s="179" t="n">
        <x:f>'Source Grades'!$D$11</x:f>
        <x:v>87</x:v>
      </x:c>
      <x:c r="D13" s="21" t="n">
        <x:f>'Source Grades'!$E$11</x:f>
        <x:v>7</x:v>
      </x:c>
      <x:c r="E13" s="87" t="str">
        <x:f>'Source Grades'!$D$23</x:f>
        <x:v>D</x:v>
      </x:c>
      <x:c r="F13" s="21" t="n">
        <x:f>'Source Grades'!$E$23</x:f>
        <x:v>11</x:v>
      </x:c>
      <x:c r="G13" s="188" t="n">
        <x:f>'Source Grades'!$D$35</x:f>
        <x:v>91.5</x:v>
      </x:c>
      <x:c r="H13" s="21" t="n">
        <x:f>'Source Grades'!$E$35</x:f>
        <x:v>3</x:v>
      </x:c>
      <x:c r="I13" s="106" t="n">
        <x:f>AVERAGE(D13,F13,H13)</x:f>
        <x:v>7</x:v>
      </x:c>
      <x:c r="J13" s="21" t="n">
        <x:f>MAX(D13,F13,H13)-MIN(D13,F13,H13)</x:f>
        <x:v>8</x:v>
      </x:c>
      <x:c r="K13" s="23" t="n">
        <x:f>AVERAGE('Source Grades'!$F$11,'Source Grades'!$F$23,'Source Grades'!$F$35)</x:f>
        <x:v>81.16666666666667</x:v>
      </x:c>
      <x:c r="L13" s="209" t="str">
        <x:f>VLOOKUP(K13,'Methodology'!$D$13:$E$25,2,TRUE)</x:f>
        <x:v>B-</x:v>
      </x:c>
      <x:c r="M13" s="142" t="str">
        <x:f>IF(J13&gt;=7,"Polarizing — sites span "&amp;TEXT(J13,"0")&amp;" places",IF(I13&lt;=3.5,"Strong consensus — top tier",IF(I13&gt;=9.5,"Consensus lower tier",IF(J13&lt;=3,"Sites largely agree","Mixed evaluations across sites"))))</x:f>
        <x:v>Polarizing — sites span 8 places</x:v>
      </x:c>
    </x:row>
    <x:row r="14" ht="20.25" customHeight="1">
      <x:c r="A14" s="140" t="n">
        <x:f>RANK(I14,$I$6:$I$17,1)+COUNTIFS($I$6:$I$17,I14,$K$6:$K$17,"&gt;"&amp;K14)</x:f>
        <x:v>9</x:v>
      </x:c>
      <x:c r="B14" s="141" t="str">
        <x:v>Colton</x:v>
      </x:c>
      <x:c r="C14" s="80" t="n">
        <x:f>'Source Grades'!$D$12</x:f>
        <x:v>88</x:v>
      </x:c>
      <x:c r="D14" s="21" t="n">
        <x:f>'Source Grades'!$E$12</x:f>
        <x:v>6</x:v>
      </x:c>
      <x:c r="E14" s="101" t="str">
        <x:f>'Source Grades'!$D$22</x:f>
        <x:v>C+</x:v>
      </x:c>
      <x:c r="F14" s="21" t="n">
        <x:f>'Source Grades'!$E$22</x:f>
        <x:v>7</x:v>
      </x:c>
      <x:c r="G14" s="101" t="n">
        <x:f>'Source Grades'!$D$34</x:f>
        <x:v>78</x:v>
      </x:c>
      <x:c r="H14" s="21" t="n">
        <x:f>'Source Grades'!$E$34</x:f>
        <x:v>10</x:v>
      </x:c>
      <x:c r="I14" s="106" t="n">
        <x:f>AVERAGE(D14,F14,H14)</x:f>
        <x:v>7.666666666666667</x:v>
      </x:c>
      <x:c r="J14" s="21" t="n">
        <x:f>MAX(D14,F14,H14)-MIN(D14,F14,H14)</x:f>
        <x:v>4</x:v>
      </x:c>
      <x:c r="K14" s="23" t="n">
        <x:f>AVERAGE('Source Grades'!$F$12,'Source Grades'!$F$22,'Source Grades'!$F$34)</x:f>
        <x:v>81.33333333333333</x:v>
      </x:c>
      <x:c r="L14" s="126" t="str">
        <x:f>VLOOKUP(K14,'Methodology'!$D$13:$E$25,2,TRUE)</x:f>
        <x:v>B-</x:v>
      </x:c>
      <x:c r="M14" s="142" t="str">
        <x:f>IF(J14&gt;=7,"Polarizing — sites span "&amp;TEXT(J14,"0")&amp;" places",IF(I14&lt;=3.5,"Strong consensus — top tier",IF(I14&gt;=9.5,"Consensus lower tier",IF(J14&lt;=3,"Sites largely agree","Mixed evaluations across sites"))))</x:f>
        <x:v>Mixed evaluations across sites</x:v>
      </x:c>
    </x:row>
    <x:row r="15" ht="20.25" customHeight="1">
      <x:c r="A15" s="140" t="n">
        <x:f>RANK(I15,$I$6:$I$17,1)+COUNTIFS($I$6:$I$17,I15,$K$6:$K$17,"&gt;"&amp;K15)</x:f>
        <x:v>10</x:v>
      </x:c>
      <x:c r="B15" s="141" t="str">
        <x:v>Easton</x:v>
      </x:c>
      <x:c r="C15" s="180" t="n">
        <x:f>'Source Grades'!$D$8</x:f>
        <x:v>81</x:v>
      </x:c>
      <x:c r="D15" s="21" t="n">
        <x:f>'Source Grades'!$E$8</x:f>
        <x:v>10</x:v>
      </x:c>
      <x:c r="E15" s="89" t="str">
        <x:f>'Source Grades'!$D$21</x:f>
        <x:v>F</x:v>
      </x:c>
      <x:c r="F15" s="21" t="n">
        <x:f>'Source Grades'!$E$21</x:f>
        <x:v>12</x:v>
      </x:c>
      <x:c r="G15" s="181" t="n">
        <x:f>'Source Grades'!$D$33</x:f>
        <x:v>79</x:v>
      </x:c>
      <x:c r="H15" s="21" t="n">
        <x:f>'Source Grades'!$E$33</x:f>
        <x:v>9</x:v>
      </x:c>
      <x:c r="I15" s="106" t="n">
        <x:f>AVERAGE(D15,F15,H15)</x:f>
        <x:v>10.333333333333334</x:v>
      </x:c>
      <x:c r="J15" s="21" t="n">
        <x:f>MAX(D15,F15,H15)-MIN(D15,F15,H15)</x:f>
        <x:v>3</x:v>
      </x:c>
      <x:c r="K15" s="23" t="n">
        <x:f>AVERAGE('Source Grades'!$F$8,'Source Grades'!$F$21,'Source Grades'!$F$33)</x:f>
        <x:v>71.66666666666667</x:v>
      </x:c>
      <x:c r="L15" s="210" t="str">
        <x:f>VLOOKUP(K15,'Methodology'!$D$13:$E$25,2,TRUE)</x:f>
        <x:v>C-</x:v>
      </x:c>
      <x:c r="M15" s="142" t="str">
        <x:f>IF(J15&gt;=7,"Polarizing — sites span "&amp;TEXT(J15,"0")&amp;" places",IF(I15&lt;=3.5,"Strong consensus — top tier",IF(I15&gt;=9.5,"Consensus lower tier",IF(J15&lt;=3,"Sites largely agree","Mixed evaluations across sites"))))</x:f>
        <x:v>Consensus lower tier</x:v>
      </x:c>
    </x:row>
    <x:row r="16" ht="20.25" customHeight="1">
      <x:c r="A16" s="140" t="n">
        <x:f>RANK(I16,$I$6:$I$17,1)+COUNTIFS($I$6:$I$17,I16,$K$6:$K$17,"&gt;"&amp;K16)</x:f>
        <x:v>11</x:v>
      </x:c>
      <x:c r="B16" s="141" t="str">
        <x:v>Reyes</x:v>
      </x:c>
      <x:c r="C16" s="88" t="n">
        <x:f>'Source Grades'!$D$6</x:f>
        <x:v>75</x:v>
      </x:c>
      <x:c r="D16" s="21" t="n">
        <x:f>'Source Grades'!$E$6</x:f>
        <x:v>12</x:v>
      </x:c>
      <x:c r="E16" s="88" t="str">
        <x:f>'Source Grades'!$D$29</x:f>
        <x:v>C</x:v>
      </x:c>
      <x:c r="F16" s="21" t="n">
        <x:f>'Source Grades'!$E$29</x:f>
        <x:v>8</x:v>
      </x:c>
      <x:c r="G16" s="189" t="n">
        <x:f>'Source Grades'!$D$41</x:f>
        <x:v>73.7</x:v>
      </x:c>
      <x:c r="H16" s="21" t="n">
        <x:f>'Source Grades'!$E$41</x:f>
        <x:v>12</x:v>
      </x:c>
      <x:c r="I16" s="106" t="n">
        <x:f>AVERAGE(D16,F16,H16)</x:f>
        <x:v>10.666666666666666</x:v>
      </x:c>
      <x:c r="J16" s="21" t="n">
        <x:f>MAX(D16,F16,H16)-MIN(D16,F16,H16)</x:f>
        <x:v>4</x:v>
      </x:c>
      <x:c r="K16" s="23" t="n">
        <x:f>AVERAGE('Source Grades'!$F$6,'Source Grades'!$F$29,'Source Grades'!$F$41)</x:f>
        <x:v>74.56666666666666</x:v>
      </x:c>
      <x:c r="L16" s="211" t="str">
        <x:f>VLOOKUP(K16,'Methodology'!$D$13:$E$25,2,TRUE)</x:f>
        <x:v>C</x:v>
      </x:c>
      <x:c r="M16" s="142" t="str">
        <x:f>IF(J16&gt;=7,"Polarizing — sites span "&amp;TEXT(J16,"0")&amp;" places",IF(I16&lt;=3.5,"Strong consensus — top tier",IF(I16&gt;=9.5,"Consensus lower tier",IF(J16&lt;=3,"Sites largely agree","Mixed evaluations across sites"))))</x:f>
        <x:v>Consensus lower tier</x:v>
      </x:c>
    </x:row>
    <x:row r="17" ht="20.25" customHeight="1">
      <x:c r="A17" s="143" t="n">
        <x:f>RANK(I17,$I$6:$I$17,1)+COUNTIFS($I$6:$I$17,I17,$K$6:$K$17,"&gt;"&amp;K17)</x:f>
        <x:v>12</x:v>
      </x:c>
      <x:c r="B17" s="144" t="str">
        <x:v>Woody</x:v>
      </x:c>
      <x:c r="C17" s="213" t="n">
        <x:f>'Source Grades'!$D$7</x:f>
        <x:v>79</x:v>
      </x:c>
      <x:c r="D17" s="146" t="n">
        <x:f>'Source Grades'!$E$7</x:f>
        <x:v>11</x:v>
      </x:c>
      <x:c r="E17" s="149" t="str">
        <x:f>'Source Grades'!$D$28</x:f>
        <x:v>D</x:v>
      </x:c>
      <x:c r="F17" s="146" t="n">
        <x:f>'Source Grades'!$E$28</x:f>
        <x:v>10</x:v>
      </x:c>
      <x:c r="G17" s="214" t="n">
        <x:f>'Source Grades'!$D$40</x:f>
        <x:v>77.5</x:v>
      </x:c>
      <x:c r="H17" s="146" t="n">
        <x:f>'Source Grades'!$E$40</x:f>
        <x:v>11</x:v>
      </x:c>
      <x:c r="I17" s="150" t="n">
        <x:f>AVERAGE(D17,F17,H17)</x:f>
        <x:v>10.666666666666666</x:v>
      </x:c>
      <x:c r="J17" s="146" t="n">
        <x:f>MAX(D17,F17,H17)-MIN(D17,F17,H17)</x:f>
        <x:v>1</x:v>
      </x:c>
      <x:c r="K17" s="151" t="n">
        <x:f>AVERAGE('Source Grades'!$F$7,'Source Grades'!$F$28,'Source Grades'!$F$40)</x:f>
        <x:v>73.83333333333333</x:v>
      </x:c>
      <x:c r="L17" s="215" t="str">
        <x:f>VLOOKUP(K17,'Methodology'!$D$13:$E$25,2,TRUE)</x:f>
        <x:v>C</x:v>
      </x:c>
      <x:c r="M17" s="153" t="str">
        <x:f>IF(J17&gt;=7,"Polarizing — sites span "&amp;TEXT(J17,"0")&amp;" places",IF(I17&lt;=3.5,"Strong consensus — top tier",IF(I17&gt;=9.5,"Consensus lower tier",IF(J17&lt;=3,"Sites largely agree","Mixed evaluations across sites"))))</x:f>
        <x:v>Consensus lower tier</x:v>
      </x:c>
    </x:row>
  </x:sheetData>
  <x:mergeCells>
    <x:mergeCell ref="A1:M1"/>
    <x:mergeCell ref="A2:M2"/>
    <x:mergeCell ref="C4:D4"/>
    <x:mergeCell ref="E4:F4"/>
    <x:mergeCell ref="G4:H4"/>
    <x:mergeCell ref="I4:M4"/>
  </x:mergeCells>
  <x:conditionalFormatting sqref="D6:D17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F6:F17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H6:H17">
    <x:cfRule type="colorScale" priority="3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6:A17">
    <x:cfRule type="colorScale" priority="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I6:I17">
    <x:cfRule type="colorScale" priority="5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K6:K17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3c88ee19b8949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4.380000114440918" hidden="0" customWidth="1"/>
    <x:col min="3" max="3" width="10" hidden="0" customWidth="1"/>
    <x:col min="4" max="4" width="11.25" hidden="0" customWidth="1"/>
    <x:col min="5" max="5" width="13.130000114440918" hidden="0" customWidth="1"/>
    <x:col min="6" max="6" width="10" hidden="0" customWidth="1"/>
    <x:col min="7" max="7" width="11.25" hidden="0" customWidth="1"/>
    <x:col min="8" max="8" width="13.130000114440918" hidden="0" customWidth="1"/>
    <x:col min="9" max="9" width="14.380000114440918" hidden="0" customWidth="1"/>
    <x:col min="10" max="10" width="9.75" hidden="0" customWidth="1"/>
    <x:col min="11" max="11" width="31.25" hidden="0" customWidth="1"/>
  </x:cols>
  <x:sheetData>
    <x:row r="1" ht="30" customHeight="1">
      <x:c r="A1" s="3" t="str">
        <x:v>2026 overall draft-grade consensus</x:v>
      </x:c>
      <x:c r="B1" s="3" t="str">
        <x:v>2026 overall draft-grade consensus</x:v>
      </x:c>
      <x:c r="C1" s="3" t="str">
        <x:v>2026 overall draft-grade consensus</x:v>
      </x:c>
      <x:c r="D1" s="3" t="str">
        <x:v>2026 overall draft-grade consensus</x:v>
      </x:c>
      <x:c r="E1" s="3" t="str">
        <x:v>2026 overall draft-grade consensus</x:v>
      </x:c>
      <x:c r="F1" s="3" t="str">
        <x:v>2026 overall draft-grade consensus</x:v>
      </x:c>
      <x:c r="G1" s="3" t="str">
        <x:v>2026 overall draft-grade consensus</x:v>
      </x:c>
      <x:c r="H1" s="3" t="str">
        <x:v>2026 overall draft-grade consensus</x:v>
      </x:c>
      <x:c r="I1" s="3" t="str">
        <x:v>2026 overall draft-grade consensus</x:v>
      </x:c>
      <x:c r="J1" s="3" t="str">
        <x:v>2026 overall draft-grade consensus</x:v>
      </x:c>
      <x:c r="K1" s="3" t="str">
        <x:v>2026 overall draft-grade consensus</x:v>
      </x:c>
    </x:row>
    <x:row r="2" ht="25.5" customHeight="1">
      <x:c r="A2" s="7" t="str">
        <x:v>Cross-format owner view · average ranks use only drafts entered</x:v>
      </x:c>
      <x:c r="B2" s="7" t="str">
        <x:v>Cross-format owner view · average ranks use only drafts entered</x:v>
      </x:c>
      <x:c r="C2" s="7" t="str">
        <x:v>Cross-format owner view · average ranks use only drafts entered</x:v>
      </x:c>
      <x:c r="D2" s="7" t="str">
        <x:v>Cross-format owner view · average ranks use only drafts entered</x:v>
      </x:c>
      <x:c r="E2" s="7" t="str">
        <x:v>Cross-format owner view · average ranks use only drafts entered</x:v>
      </x:c>
      <x:c r="F2" s="7" t="str">
        <x:v>Cross-format owner view · average ranks use only drafts entered</x:v>
      </x:c>
      <x:c r="G2" s="7" t="str">
        <x:v>Cross-format owner view · average ranks use only drafts entered</x:v>
      </x:c>
      <x:c r="H2" s="7" t="str">
        <x:v>Cross-format owner view · average ranks use only drafts entered</x:v>
      </x:c>
      <x:c r="I2" s="7" t="str">
        <x:v>Cross-format owner view · average ranks use only drafts entered</x:v>
      </x:c>
      <x:c r="J2" s="7" t="str">
        <x:v>Cross-format owner view · average ranks use only drafts entered</x:v>
      </x:c>
      <x:c r="K2" s="7" t="str">
        <x:v>Cross-format owner view · average ranks use only drafts entered</x:v>
      </x:c>
    </x:row>
    <x:row r="4">
      <x:c r="A4" s="24" t="str">
        <x:v>Owner</x:v>
      </x:c>
      <x:c r="B4" s="24" t="str">
        <x:v>Owner</x:v>
      </x:c>
      <x:c r="C4" s="24" t="str">
        <x:v>Snake</x:v>
      </x:c>
      <x:c r="D4" s="24" t="str">
        <x:v>Snake</x:v>
      </x:c>
      <x:c r="E4" s="24" t="str">
        <x:v>Snake</x:v>
      </x:c>
      <x:c r="F4" s="24" t="str">
        <x:v>Auction</x:v>
      </x:c>
      <x:c r="G4" s="24" t="str">
        <x:v>Auction</x:v>
      </x:c>
      <x:c r="H4" s="24" t="str">
        <x:v>Auction</x:v>
      </x:c>
      <x:c r="I4" s="24" t="str">
        <x:v>Combined</x:v>
      </x:c>
      <x:c r="J4" s="24" t="str">
        <x:v>Combined</x:v>
      </x:c>
      <x:c r="K4" s="24" t="str">
        <x:v>Combined</x:v>
      </x:c>
    </x:row>
    <x:row r="5" ht="28.5" customHeight="1">
      <x:c r="A5" s="31" t="str">
        <x:v>Overall Rank</x:v>
      </x:c>
      <x:c r="B5" s="31" t="str">
        <x:v>Owner</x:v>
      </x:c>
      <x:c r="C5" s="31" t="str">
        <x:v>Grade</x:v>
      </x:c>
      <x:c r="D5" s="31" t="str">
        <x:v>Avg Rank</x:v>
      </x:c>
      <x:c r="E5" s="31" t="str">
        <x:v>Consensus Rank</x:v>
      </x:c>
      <x:c r="F5" s="31" t="str">
        <x:v>Grade</x:v>
      </x:c>
      <x:c r="G5" s="31" t="str">
        <x:v>Avg Rank</x:v>
      </x:c>
      <x:c r="H5" s="31" t="str">
        <x:v>Consensus Rank</x:v>
      </x:c>
      <x:c r="I5" s="31" t="str">
        <x:v>Combined Avg Rank</x:v>
      </x:c>
      <x:c r="J5" s="31" t="str">
        <x:v>Formats</x:v>
      </x:c>
      <x:c r="K5" s="31" t="str">
        <x:v>Note</x:v>
      </x:c>
    </x:row>
    <x:row r="6" ht="20.25" customHeight="1">
      <x:c r="A6" s="74" t="n">
        <x:f>RANK(I6,$I$6:$I$19,1)</x:f>
        <x:v>1</x:v>
      </x:c>
      <x:c r="B6" t="str">
        <x:v>Kyle</x:v>
      </x:c>
      <x:c r="C6" s="20"/>
      <x:c r="D6" s="235"/>
      <x:c r="E6" s="20"/>
      <x:c r="F6" s="76" t="str">
        <x:f>'Auction Consensus'!$L$7</x:f>
        <x:v>A-</x:v>
      </x:c>
      <x:c r="G6" s="235" t="n">
        <x:f>'Auction Consensus'!$I$7</x:f>
        <x:v>2.6666666666666665</x:v>
      </x:c>
      <x:c r="H6" s="20" t="n">
        <x:f>'Auction Consensus'!$A$7</x:f>
        <x:v>2</x:v>
      </x:c>
      <x:c r="I6" s="106" t="n">
        <x:f>AVERAGE(D6,G6)</x:f>
        <x:v>2.6666666666666665</x:v>
      </x:c>
      <x:c r="J6" s="20" t="str">
        <x:v>Auction</x:v>
      </x:c>
      <x:c r="K6" s="132" t="str">
        <x:f>J6&amp;" only"</x:f>
        <x:v>Auction only</x:v>
      </x:c>
    </x:row>
    <x:row r="7" ht="20.25" customHeight="1">
      <x:c r="A7" s="74" t="n">
        <x:f>RANK(I7,$I$6:$I$19,1)</x:f>
        <x:v>2</x:v>
      </x:c>
      <x:c r="B7" t="str">
        <x:v>Shane</x:v>
      </x:c>
      <x:c r="C7" s="216" t="str">
        <x:f>'Snake Consensus'!$N$8</x:f>
        <x:v>A-</x:v>
      </x:c>
      <x:c r="D7" s="235" t="n">
        <x:f>'Snake Consensus'!$K$8</x:f>
        <x:v>4.25</x:v>
      </x:c>
      <x:c r="E7" s="20" t="n">
        <x:f>'Snake Consensus'!$A$8</x:f>
        <x:v>3</x:v>
      </x:c>
      <x:c r="F7" s="217" t="str">
        <x:f>'Auction Consensus'!$L$8</x:f>
        <x:v>B+</x:v>
      </x:c>
      <x:c r="G7" s="235" t="n">
        <x:f>'Auction Consensus'!$I$8</x:f>
        <x:v>3.6666666666666665</x:v>
      </x:c>
      <x:c r="H7" s="20" t="n">
        <x:f>'Auction Consensus'!$A$8</x:f>
        <x:v>3</x:v>
      </x:c>
      <x:c r="I7" s="106" t="n">
        <x:f>AVERAGE(D7,G7)</x:f>
        <x:v>3.958333333333333</x:v>
      </x:c>
      <x:c r="J7" s="20" t="str">
        <x:v>Both</x:v>
      </x:c>
      <x:c r="K7" s="132" t="str">
        <x:f>IF(ABS(D7-G7)&gt;=4,"Very different results by format","Consistent across both drafts")</x:f>
        <x:v>Consistent across both drafts</x:v>
      </x:c>
    </x:row>
    <x:row r="8" ht="20.25" customHeight="1">
      <x:c r="A8" s="74" t="n">
        <x:f>RANK(I8,$I$6:$I$19,1)</x:f>
        <x:v>3</x:v>
      </x:c>
      <x:c r="B8" t="str">
        <x:v>Carson</x:v>
      </x:c>
      <x:c r="C8" s="90" t="str">
        <x:f>'Snake Consensus'!$N$6</x:f>
        <x:v>A-</x:v>
      </x:c>
      <x:c r="D8" s="235" t="n">
        <x:f>'Snake Consensus'!$K$6</x:f>
        <x:v>2.75</x:v>
      </x:c>
      <x:c r="E8" s="20" t="n">
        <x:f>'Snake Consensus'!$A$6</x:f>
        <x:v>1</x:v>
      </x:c>
      <x:c r="F8" s="186" t="str">
        <x:f>'Auction Consensus'!$L$10</x:f>
        <x:v>B</x:v>
      </x:c>
      <x:c r="G8" s="235" t="n">
        <x:f>'Auction Consensus'!$I$10</x:f>
        <x:v>5.666666666666667</x:v>
      </x:c>
      <x:c r="H8" s="20" t="n">
        <x:f>'Auction Consensus'!$A$10</x:f>
        <x:v>5</x:v>
      </x:c>
      <x:c r="I8" s="106" t="n">
        <x:f>AVERAGE(D8,G8)</x:f>
        <x:v>4.208333333333334</x:v>
      </x:c>
      <x:c r="J8" s="20" t="str">
        <x:v>Both</x:v>
      </x:c>
      <x:c r="K8" s="132" t="str">
        <x:f>IF(ABS(D8-G8)&gt;=4,"Very different results by format","Consistent across both drafts")</x:f>
        <x:v>Consistent across both drafts</x:v>
      </x:c>
    </x:row>
    <x:row r="9" ht="20.25" customHeight="1">
      <x:c r="A9" s="74" t="n">
        <x:f>RANK(I9,$I$6:$I$19,1)</x:f>
        <x:v>4</x:v>
      </x:c>
      <x:c r="B9" t="str">
        <x:v>Tyson</x:v>
      </x:c>
      <x:c r="C9" s="218" t="str">
        <x:f>'Snake Consensus'!$N$10</x:f>
        <x:v>A-</x:v>
      </x:c>
      <x:c r="D9" s="235" t="n">
        <x:f>'Snake Consensus'!$K$10</x:f>
        <x:v>4.75</x:v>
      </x:c>
      <x:c r="E9" s="20" t="n">
        <x:f>'Snake Consensus'!$A$10</x:f>
        <x:v>5</x:v>
      </x:c>
      <x:c r="F9" s="20"/>
      <x:c r="G9" s="235"/>
      <x:c r="H9" s="20"/>
      <x:c r="I9" s="106" t="n">
        <x:f>AVERAGE(D9,G9)</x:f>
        <x:v>4.75</x:v>
      </x:c>
      <x:c r="J9" s="20" t="str">
        <x:v>Snake</x:v>
      </x:c>
      <x:c r="K9" s="132" t="str">
        <x:f>J9&amp;" only"</x:f>
        <x:v>Snake only</x:v>
      </x:c>
    </x:row>
    <x:row r="10" ht="20.25" customHeight="1">
      <x:c r="A10" s="74" t="n">
        <x:f>RANK(I10,$I$6:$I$19,1)</x:f>
        <x:v>5</x:v>
      </x:c>
      <x:c r="B10" t="str">
        <x:v>McCade</x:v>
      </x:c>
      <x:c r="C10" s="219" t="str">
        <x:f>'Snake Consensus'!$N$9</x:f>
        <x:v>B+</x:v>
      </x:c>
      <x:c r="D10" s="235" t="n">
        <x:f>'Snake Consensus'!$K$9</x:f>
        <x:v>4.25</x:v>
      </x:c>
      <x:c r="E10" s="20" t="n">
        <x:f>'Snake Consensus'!$A$9</x:f>
        <x:v>4</x:v>
      </x:c>
      <x:c r="F10" s="220" t="str">
        <x:f>'Auction Consensus'!$L$11</x:f>
        <x:v>B-</x:v>
      </x:c>
      <x:c r="G10" s="235" t="n">
        <x:f>'Auction Consensus'!$I$11</x:f>
        <x:v>6</x:v>
      </x:c>
      <x:c r="H10" s="20" t="n">
        <x:f>'Auction Consensus'!$A$11</x:f>
        <x:v>6</x:v>
      </x:c>
      <x:c r="I10" s="106" t="n">
        <x:f>AVERAGE(D10,G10)</x:f>
        <x:v>5.125</x:v>
      </x:c>
      <x:c r="J10" s="20" t="str">
        <x:v>Both</x:v>
      </x:c>
      <x:c r="K10" s="132" t="str">
        <x:f>IF(ABS(D10-G10)&gt;=4,"Very different results by format","Consistent across both drafts")</x:f>
        <x:v>Consistent across both drafts</x:v>
      </x:c>
    </x:row>
    <x:row r="11" ht="20.25" customHeight="1">
      <x:c r="A11" s="74" t="n">
        <x:f>RANK(I11,$I$6:$I$19,1)</x:f>
        <x:v>6</x:v>
      </x:c>
      <x:c r="B11" t="str">
        <x:v>Dallin</x:v>
      </x:c>
      <x:c r="C11" s="221" t="str">
        <x:f>'Snake Consensus'!$N$14</x:f>
        <x:v>C+</x:v>
      </x:c>
      <x:c r="D11" s="235" t="n">
        <x:f>'Snake Consensus'!$K$14</x:f>
        <x:v>8</x:v>
      </x:c>
      <x:c r="E11" s="20" t="n">
        <x:f>'Snake Consensus'!$A$14</x:f>
        <x:v>9</x:v>
      </x:c>
      <x:c r="F11" s="222" t="str">
        <x:f>'Auction Consensus'!$L$6</x:f>
        <x:v>A</x:v>
      </x:c>
      <x:c r="G11" s="235" t="n">
        <x:f>'Auction Consensus'!$I$6</x:f>
        <x:v>2.3333333333333335</x:v>
      </x:c>
      <x:c r="H11" s="20" t="n">
        <x:f>'Auction Consensus'!$A$6</x:f>
        <x:v>1</x:v>
      </x:c>
      <x:c r="I11" s="106" t="n">
        <x:f>AVERAGE(D11,G11)</x:f>
        <x:v>5.166666666666667</x:v>
      </x:c>
      <x:c r="J11" s="20" t="str">
        <x:v>Both</x:v>
      </x:c>
      <x:c r="K11" s="132" t="str">
        <x:f>IF(ABS(D11-G11)&gt;=4,"Very different results by format","Consistent across both drafts")</x:f>
        <x:v>Very different results by format</x:v>
      </x:c>
    </x:row>
    <x:row r="12" ht="20.25" customHeight="1">
      <x:c r="A12" s="74" t="n">
        <x:f>RANK(I12,$I$6:$I$19,1)</x:f>
        <x:v>7</x:v>
      </x:c>
      <x:c r="B12" t="str">
        <x:v>Colton</x:v>
      </x:c>
      <x:c r="C12" s="223" t="str">
        <x:f>'Snake Consensus'!$N$11</x:f>
        <x:v>B</x:v>
      </x:c>
      <x:c r="D12" s="235" t="n">
        <x:f>'Snake Consensus'!$K$11</x:f>
        <x:v>5</x:v>
      </x:c>
      <x:c r="E12" s="20" t="n">
        <x:f>'Snake Consensus'!$A$11</x:f>
        <x:v>6</x:v>
      </x:c>
      <x:c r="F12" s="224" t="str">
        <x:f>'Auction Consensus'!$L$14</x:f>
        <x:v>B-</x:v>
      </x:c>
      <x:c r="G12" s="235" t="n">
        <x:f>'Auction Consensus'!$I$14</x:f>
        <x:v>7.666666666666667</x:v>
      </x:c>
      <x:c r="H12" s="20" t="n">
        <x:f>'Auction Consensus'!$A$14</x:f>
        <x:v>9</x:v>
      </x:c>
      <x:c r="I12" s="106" t="n">
        <x:f>AVERAGE(D12,G12)</x:f>
        <x:v>6.333333333333334</x:v>
      </x:c>
      <x:c r="J12" s="20" t="str">
        <x:v>Both</x:v>
      </x:c>
      <x:c r="K12" s="132" t="str">
        <x:f>IF(ABS(D12-G12)&gt;=4,"Very different results by format","Consistent across both drafts")</x:f>
        <x:v>Consistent across both drafts</x:v>
      </x:c>
    </x:row>
    <x:row r="13" ht="20.25" customHeight="1">
      <x:c r="A13" s="74" t="n">
        <x:f>RANK(I13,$I$6:$I$19,1)</x:f>
        <x:v>8</x:v>
      </x:c>
      <x:c r="B13" t="str">
        <x:v>ToddA</x:v>
      </x:c>
      <x:c r="C13" s="93" t="str">
        <x:f>'Snake Consensus'!$N$12</x:f>
        <x:v>B-</x:v>
      </x:c>
      <x:c r="D13" s="235" t="n">
        <x:f>'Snake Consensus'!$K$12</x:f>
        <x:v>6.5</x:v>
      </x:c>
      <x:c r="E13" s="20" t="n">
        <x:f>'Snake Consensus'!$A$12</x:f>
        <x:v>7</x:v>
      </x:c>
      <x:c r="F13" s="20"/>
      <x:c r="G13" s="235"/>
      <x:c r="H13" s="20"/>
      <x:c r="I13" s="106" t="n">
        <x:f>AVERAGE(D13,G13)</x:f>
        <x:v>6.5</x:v>
      </x:c>
      <x:c r="J13" s="20" t="str">
        <x:v>Snake</x:v>
      </x:c>
      <x:c r="K13" s="132" t="str">
        <x:f>J13&amp;" only"</x:f>
        <x:v>Snake only</x:v>
      </x:c>
    </x:row>
    <x:row r="14" ht="20.25" customHeight="1">
      <x:c r="A14" s="74" t="n">
        <x:f>RANK(I14,$I$6:$I$19,1)</x:f>
        <x:v>9</x:v>
      </x:c>
      <x:c r="B14" t="str">
        <x:v>Tyler</x:v>
      </x:c>
      <x:c r="C14" s="225" t="str">
        <x:f>'Snake Consensus'!$N$15</x:f>
        <x:v>C</x:v>
      </x:c>
      <x:c r="D14" s="235" t="n">
        <x:f>'Snake Consensus'!$K$15</x:f>
        <x:v>8.75</x:v>
      </x:c>
      <x:c r="E14" s="20" t="n">
        <x:f>'Snake Consensus'!$A$15</x:f>
        <x:v>10</x:v>
      </x:c>
      <x:c r="F14" s="226" t="str">
        <x:f>'Auction Consensus'!$L$9</x:f>
        <x:v>B+</x:v>
      </x:c>
      <x:c r="G14" s="235" t="n">
        <x:f>'Auction Consensus'!$I$9</x:f>
        <x:v>4.333333333333333</x:v>
      </x:c>
      <x:c r="H14" s="20" t="n">
        <x:f>'Auction Consensus'!$A$9</x:f>
        <x:v>4</x:v>
      </x:c>
      <x:c r="I14" s="106" t="n">
        <x:f>AVERAGE(D14,G14)</x:f>
        <x:v>6.541666666666666</x:v>
      </x:c>
      <x:c r="J14" s="20" t="str">
        <x:v>Both</x:v>
      </x:c>
      <x:c r="K14" s="132" t="str">
        <x:f>IF(ABS(D14-G14)&gt;=4,"Very different results by format","Consistent across both drafts")</x:f>
        <x:v>Very different results by format</x:v>
      </x:c>
    </x:row>
    <x:row r="15" ht="20.25" customHeight="1">
      <x:c r="A15" s="74" t="n">
        <x:f>RANK(I15,$I$6:$I$19,1)</x:f>
        <x:v>10</x:v>
      </x:c>
      <x:c r="B15" t="str">
        <x:v>Easton</x:v>
      </x:c>
      <x:c r="C15" s="227" t="str">
        <x:f>'Snake Consensus'!$N$7</x:f>
        <x:v>A-</x:v>
      </x:c>
      <x:c r="D15" s="235" t="n">
        <x:f>'Snake Consensus'!$K$7</x:f>
        <x:v>3.5</x:v>
      </x:c>
      <x:c r="E15" s="20" t="n">
        <x:f>'Snake Consensus'!$A$7</x:f>
        <x:v>2</x:v>
      </x:c>
      <x:c r="F15" s="228" t="str">
        <x:f>'Auction Consensus'!$L$15</x:f>
        <x:v>C-</x:v>
      </x:c>
      <x:c r="G15" s="235" t="n">
        <x:f>'Auction Consensus'!$I$15</x:f>
        <x:v>10.333333333333334</x:v>
      </x:c>
      <x:c r="H15" s="20" t="n">
        <x:f>'Auction Consensus'!$A$15</x:f>
        <x:v>10</x:v>
      </x:c>
      <x:c r="I15" s="106" t="n">
        <x:f>AVERAGE(D15,G15)</x:f>
        <x:v>6.916666666666667</x:v>
      </x:c>
      <x:c r="J15" s="20" t="str">
        <x:v>Both</x:v>
      </x:c>
      <x:c r="K15" s="132" t="str">
        <x:f>IF(ABS(D15-G15)&gt;=4,"Very different results by format","Consistent across both drafts")</x:f>
        <x:v>Very different results by format</x:v>
      </x:c>
    </x:row>
    <x:row r="16" ht="20.25" customHeight="1">
      <x:c r="A16" s="74" t="n">
        <x:f>RANK(I16,$I$6:$I$19,1)</x:f>
        <x:v>11</x:v>
      </x:c>
      <x:c r="B16" t="str">
        <x:v>Kristin</x:v>
      </x:c>
      <x:c r="C16" s="20"/>
      <x:c r="D16" s="235"/>
      <x:c r="E16" s="20"/>
      <x:c r="F16" s="229" t="str">
        <x:f>'Auction Consensus'!$L$13</x:f>
        <x:v>B-</x:v>
      </x:c>
      <x:c r="G16" s="235" t="n">
        <x:f>'Auction Consensus'!$I$13</x:f>
        <x:v>7</x:v>
      </x:c>
      <x:c r="H16" s="20" t="n">
        <x:f>'Auction Consensus'!$A$13</x:f>
        <x:v>8</x:v>
      </x:c>
      <x:c r="I16" s="106" t="n">
        <x:f>AVERAGE(D16,G16)</x:f>
        <x:v>7</x:v>
      </x:c>
      <x:c r="J16" s="20" t="str">
        <x:v>Auction</x:v>
      </x:c>
      <x:c r="K16" s="132" t="str">
        <x:f>J16&amp;" only"</x:f>
        <x:v>Auction only</x:v>
      </x:c>
    </x:row>
    <x:row r="17" ht="20.25" customHeight="1">
      <x:c r="A17" s="74" t="n">
        <x:f>RANK(I17,$I$6:$I$19,1)</x:f>
        <x:v>12</x:v>
      </x:c>
      <x:c r="B17" t="str">
        <x:v>ToddB</x:v>
      </x:c>
      <x:c r="C17" s="224" t="str">
        <x:f>'Snake Consensus'!$N$13</x:f>
        <x:v>B-</x:v>
      </x:c>
      <x:c r="D17" s="235" t="n">
        <x:f>'Snake Consensus'!$K$13</x:f>
        <x:v>7.5</x:v>
      </x:c>
      <x:c r="E17" s="20" t="n">
        <x:f>'Snake Consensus'!$A$13</x:f>
        <x:v>8</x:v>
      </x:c>
      <x:c r="F17" s="230" t="str">
        <x:f>'Auction Consensus'!$L$12</x:f>
        <x:v>B</x:v>
      </x:c>
      <x:c r="G17" s="235" t="n">
        <x:f>'Auction Consensus'!$I$12</x:f>
        <x:v>7</x:v>
      </x:c>
      <x:c r="H17" s="20" t="n">
        <x:f>'Auction Consensus'!$A$12</x:f>
        <x:v>7</x:v>
      </x:c>
      <x:c r="I17" s="106" t="n">
        <x:f>AVERAGE(D17,G17)</x:f>
        <x:v>7.25</x:v>
      </x:c>
      <x:c r="J17" s="20" t="str">
        <x:v>Both</x:v>
      </x:c>
      <x:c r="K17" s="132" t="str">
        <x:f>IF(ABS(D17-G17)&gt;=4,"Very different results by format","Consistent across both drafts")</x:f>
        <x:v>Consistent across both drafts</x:v>
      </x:c>
    </x:row>
    <x:row r="18" ht="20.25" customHeight="1">
      <x:c r="A18" s="74" t="n">
        <x:f>RANK(I18,$I$6:$I$19,1)</x:f>
        <x:v>13</x:v>
      </x:c>
      <x:c r="B18" t="str">
        <x:v>Woody</x:v>
      </x:c>
      <x:c r="C18" s="231" t="str">
        <x:f>'Snake Consensus'!$N$16</x:f>
        <x:v>D+</x:v>
      </x:c>
      <x:c r="D18" s="235" t="n">
        <x:f>'Snake Consensus'!$K$16</x:f>
        <x:v>11</x:v>
      </x:c>
      <x:c r="E18" s="20" t="n">
        <x:f>'Snake Consensus'!$A$16</x:f>
        <x:v>11</x:v>
      </x:c>
      <x:c r="F18" s="232" t="str">
        <x:f>'Auction Consensus'!$L$17</x:f>
        <x:v>C</x:v>
      </x:c>
      <x:c r="G18" s="235" t="n">
        <x:f>'Auction Consensus'!$I$17</x:f>
        <x:v>10.666666666666666</x:v>
      </x:c>
      <x:c r="H18" s="20" t="n">
        <x:f>'Auction Consensus'!$A$17</x:f>
        <x:v>12</x:v>
      </x:c>
      <x:c r="I18" s="106" t="n">
        <x:f>AVERAGE(D18,G18)</x:f>
        <x:v>10.833333333333332</x:v>
      </x:c>
      <x:c r="J18" s="20" t="str">
        <x:v>Both</x:v>
      </x:c>
      <x:c r="K18" s="132" t="str">
        <x:f>IF(ABS(D18-G18)&gt;=4,"Very different results by format","Consistent across both drafts")</x:f>
        <x:v>Consistent across both drafts</x:v>
      </x:c>
    </x:row>
    <x:row r="19" ht="20.25" customHeight="1">
      <x:c r="A19" s="74" t="n">
        <x:f>RANK(I19,$I$6:$I$19,1)</x:f>
        <x:v>14</x:v>
      </x:c>
      <x:c r="B19" t="str">
        <x:v>Reyes</x:v>
      </x:c>
      <x:c r="C19" s="233" t="str">
        <x:f>'Snake Consensus'!$N$17</x:f>
        <x:v>D</x:v>
      </x:c>
      <x:c r="D19" s="235" t="n">
        <x:f>'Snake Consensus'!$K$17</x:f>
        <x:v>11.75</x:v>
      </x:c>
      <x:c r="E19" s="20" t="n">
        <x:f>'Snake Consensus'!$A$17</x:f>
        <x:v>12</x:v>
      </x:c>
      <x:c r="F19" s="234" t="str">
        <x:f>'Auction Consensus'!$L$16</x:f>
        <x:v>C</x:v>
      </x:c>
      <x:c r="G19" s="235" t="n">
        <x:f>'Auction Consensus'!$I$16</x:f>
        <x:v>10.666666666666666</x:v>
      </x:c>
      <x:c r="H19" s="20" t="n">
        <x:f>'Auction Consensus'!$A$16</x:f>
        <x:v>11</x:v>
      </x:c>
      <x:c r="I19" s="106" t="n">
        <x:f>AVERAGE(D19,G19)</x:f>
        <x:v>11.208333333333332</x:v>
      </x:c>
      <x:c r="J19" s="20" t="str">
        <x:v>Both</x:v>
      </x:c>
      <x:c r="K19" s="132" t="str">
        <x:f>IF(ABS(D19-G19)&gt;=4,"Very different results by format","Consistent across both drafts")</x:f>
        <x:v>Consistent across both drafts</x:v>
      </x:c>
    </x:row>
  </x:sheetData>
  <x:mergeCells>
    <x:mergeCell ref="A1:K1"/>
    <x:mergeCell ref="A2:K2"/>
    <x:mergeCell ref="A4:B4"/>
    <x:mergeCell ref="C4:E4"/>
    <x:mergeCell ref="F4:H4"/>
    <x:mergeCell ref="I4:K4"/>
  </x:mergeCells>
  <x:conditionalFormatting sqref="A6:A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D6:D19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G6:G19">
    <x:cfRule type="colorScale" priority="3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I6:I19">
    <x:cfRule type="colorScale" priority="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b8afe81381847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130000114440918" hidden="0" customWidth="1"/>
    <x:col min="3" max="3" width="14.380000114440918" hidden="0" customWidth="1"/>
    <x:col min="4" max="4" width="15.630000114440918" hidden="0" customWidth="1"/>
    <x:col min="5" max="5" width="13.75" hidden="0" customWidth="1"/>
    <x:col min="6" max="6" width="15.630000114440918" hidden="0" customWidth="1"/>
  </x:cols>
  <x:sheetData>
    <x:row r="1" ht="30" customHeight="1">
      <x:c r="A1" s="3" t="str">
        <x:v>Source grades</x:v>
      </x:c>
      <x:c r="B1" s="3" t="str">
        <x:v>Source grades</x:v>
      </x:c>
      <x:c r="C1" s="3" t="str">
        <x:v>Source grades</x:v>
      </x:c>
      <x:c r="D1" s="3" t="str">
        <x:v>Source grades</x:v>
      </x:c>
      <x:c r="E1" s="3" t="str">
        <x:v>Source grades</x:v>
      </x:c>
      <x:c r="F1" s="3" t="str">
        <x:v>Source grades</x:v>
      </x:c>
    </x:row>
    <x:row r="2" ht="25.5" customHeight="1">
      <x:c r="A2" s="7" t="str">
        <x:v>Original rows from DraftGrades.csv with a formula-driven normalized score</x:v>
      </x:c>
      <x:c r="B2" s="7" t="str">
        <x:v>Original rows from DraftGrades.csv with a formula-driven normalized score</x:v>
      </x:c>
      <x:c r="C2" s="7" t="str">
        <x:v>Original rows from DraftGrades.csv with a formula-driven normalized score</x:v>
      </x:c>
      <x:c r="D2" s="7" t="str">
        <x:v>Original rows from DraftGrades.csv with a formula-driven normalized score</x:v>
      </x:c>
      <x:c r="E2" s="7" t="str">
        <x:v>Original rows from DraftGrades.csv with a formula-driven normalized score</x:v>
      </x:c>
      <x:c r="F2" s="7" t="str">
        <x:v>Original rows from DraftGrades.csv with a formula-driven normalized score</x:v>
      </x:c>
    </x:row>
    <x:row r="5">
      <x:c r="A5" t="str">
        <x:v>League</x:v>
      </x:c>
      <x:c r="B5" t="str">
        <x:v>Team</x:v>
      </x:c>
      <x:c r="C5" t="str">
        <x:v>Site</x:v>
      </x:c>
      <x:c r="D5" t="str">
        <x:v>Published Grade</x:v>
      </x:c>
      <x:c r="E5" t="str">
        <x:v>Published Rank</x:v>
      </x:c>
      <x:c r="F5" t="str">
        <x:v>Normalized Score</x:v>
      </x:c>
    </x:row>
    <x:row r="6">
      <x:c r="A6" t="str">
        <x:v>Auction</x:v>
      </x:c>
      <x:c r="B6" t="str">
        <x:v>Reyes</x:v>
      </x:c>
      <x:c r="C6" t="str">
        <x:v>FantasyPros</x:v>
      </x:c>
      <x:c r="D6" s="20" t="n">
        <x:v>75</x:v>
      </x:c>
      <x:c r="E6" s="21" t="n">
        <x:v>12</x:v>
      </x:c>
      <x:c r="F6" s="23" t="n">
        <x:f>D6</x:f>
        <x:v>75</x:v>
      </x:c>
    </x:row>
    <x:row r="7">
      <x:c r="A7" t="str">
        <x:v>Auction</x:v>
      </x:c>
      <x:c r="B7" t="str">
        <x:v>Woody</x:v>
      </x:c>
      <x:c r="C7" t="str">
        <x:v>FantasyPros</x:v>
      </x:c>
      <x:c r="D7" s="20" t="n">
        <x:v>79</x:v>
      </x:c>
      <x:c r="E7" s="21" t="n">
        <x:v>11</x:v>
      </x:c>
      <x:c r="F7" s="23" t="n">
        <x:f>D7</x:f>
        <x:v>79</x:v>
      </x:c>
    </x:row>
    <x:row r="8">
      <x:c r="A8" t="str">
        <x:v>Auction</x:v>
      </x:c>
      <x:c r="B8" t="str">
        <x:v>Easton</x:v>
      </x:c>
      <x:c r="C8" t="str">
        <x:v>FantasyPros</x:v>
      </x:c>
      <x:c r="D8" s="20" t="n">
        <x:v>81</x:v>
      </x:c>
      <x:c r="E8" s="21" t="n">
        <x:v>10</x:v>
      </x:c>
      <x:c r="F8" s="23" t="n">
        <x:f>D8</x:f>
        <x:v>81</x:v>
      </x:c>
    </x:row>
    <x:row r="9">
      <x:c r="A9" t="str">
        <x:v>Auction</x:v>
      </x:c>
      <x:c r="B9" t="str">
        <x:v>Carson</x:v>
      </x:c>
      <x:c r="C9" t="str">
        <x:v>FantasyPros</x:v>
      </x:c>
      <x:c r="D9" s="20" t="n">
        <x:v>83</x:v>
      </x:c>
      <x:c r="E9" s="21" t="n">
        <x:v>9</x:v>
      </x:c>
      <x:c r="F9" s="23" t="n">
        <x:f>D9</x:f>
        <x:v>83</x:v>
      </x:c>
    </x:row>
    <x:row r="10">
      <x:c r="A10" t="str">
        <x:v>Auction</x:v>
      </x:c>
      <x:c r="B10" t="str">
        <x:v>ToddB</x:v>
      </x:c>
      <x:c r="C10" t="str">
        <x:v>FantasyPros</x:v>
      </x:c>
      <x:c r="D10" s="20" t="n">
        <x:v>84</x:v>
      </x:c>
      <x:c r="E10" s="21" t="n">
        <x:v>8</x:v>
      </x:c>
      <x:c r="F10" s="23" t="n">
        <x:f>D10</x:f>
        <x:v>84</x:v>
      </x:c>
    </x:row>
    <x:row r="11">
      <x:c r="A11" t="str">
        <x:v>Auction</x:v>
      </x:c>
      <x:c r="B11" t="str">
        <x:v>Kristin</x:v>
      </x:c>
      <x:c r="C11" t="str">
        <x:v>FantasyPros</x:v>
      </x:c>
      <x:c r="D11" s="20" t="n">
        <x:v>87</x:v>
      </x:c>
      <x:c r="E11" s="21" t="n">
        <x:v>7</x:v>
      </x:c>
      <x:c r="F11" s="23" t="n">
        <x:f>D11</x:f>
        <x:v>87</x:v>
      </x:c>
    </x:row>
    <x:row r="12">
      <x:c r="A12" t="str">
        <x:v>Auction</x:v>
      </x:c>
      <x:c r="B12" t="str">
        <x:v>Colton</x:v>
      </x:c>
      <x:c r="C12" t="str">
        <x:v>FantasyPros</x:v>
      </x:c>
      <x:c r="D12" s="20" t="n">
        <x:v>88</x:v>
      </x:c>
      <x:c r="E12" s="21" t="n">
        <x:v>6</x:v>
      </x:c>
      <x:c r="F12" s="23" t="n">
        <x:f>D12</x:f>
        <x:v>88</x:v>
      </x:c>
    </x:row>
    <x:row r="13">
      <x:c r="A13" t="str">
        <x:v>Auction</x:v>
      </x:c>
      <x:c r="B13" t="str">
        <x:v>McCade</x:v>
      </x:c>
      <x:c r="C13" t="str">
        <x:v>FantasyPros</x:v>
      </x:c>
      <x:c r="D13" s="20" t="n">
        <x:v>90</x:v>
      </x:c>
      <x:c r="E13" s="21" t="n">
        <x:v>5</x:v>
      </x:c>
      <x:c r="F13" s="23" t="n">
        <x:f>D13</x:f>
        <x:v>90</x:v>
      </x:c>
    </x:row>
    <x:row r="14">
      <x:c r="A14" t="str">
        <x:v>Auction</x:v>
      </x:c>
      <x:c r="B14" t="str">
        <x:v>Dallin</x:v>
      </x:c>
      <x:c r="C14" t="str">
        <x:v>FantasyPros</x:v>
      </x:c>
      <x:c r="D14" s="20" t="n">
        <x:v>93</x:v>
      </x:c>
      <x:c r="E14" s="21" t="n">
        <x:v>4</x:v>
      </x:c>
      <x:c r="F14" s="23" t="n">
        <x:f>D14</x:f>
        <x:v>93</x:v>
      </x:c>
    </x:row>
    <x:row r="15">
      <x:c r="A15" t="str">
        <x:v>Auction</x:v>
      </x:c>
      <x:c r="B15" t="str">
        <x:v>Tyler</x:v>
      </x:c>
      <x:c r="C15" t="str">
        <x:v>FantasyPros</x:v>
      </x:c>
      <x:c r="D15" s="20" t="n">
        <x:v>95</x:v>
      </x:c>
      <x:c r="E15" s="21" t="n">
        <x:v>3</x:v>
      </x:c>
      <x:c r="F15" s="23" t="n">
        <x:f>D15</x:f>
        <x:v>95</x:v>
      </x:c>
    </x:row>
    <x:row r="16">
      <x:c r="A16" t="str">
        <x:v>Auction</x:v>
      </x:c>
      <x:c r="B16" t="str">
        <x:v>Kyle</x:v>
      </x:c>
      <x:c r="C16" t="str">
        <x:v>FantasyPros</x:v>
      </x:c>
      <x:c r="D16" s="20" t="n">
        <x:v>99</x:v>
      </x:c>
      <x:c r="E16" s="21" t="n">
        <x:v>2</x:v>
      </x:c>
      <x:c r="F16" s="23" t="n">
        <x:f>D16</x:f>
        <x:v>99</x:v>
      </x:c>
    </x:row>
    <x:row r="17">
      <x:c r="A17" t="str">
        <x:v>Auction</x:v>
      </x:c>
      <x:c r="B17" t="str">
        <x:v>Shane</x:v>
      </x:c>
      <x:c r="C17" t="str">
        <x:v>FantasyPros</x:v>
      </x:c>
      <x:c r="D17" s="20" t="n">
        <x:v>100</x:v>
      </x:c>
      <x:c r="E17" s="21" t="n">
        <x:v>1</x:v>
      </x:c>
      <x:c r="F17" s="23" t="n">
        <x:f>D17</x:f>
        <x:v>100</x:v>
      </x:c>
    </x:row>
    <x:row r="18">
      <x:c r="A18" t="str">
        <x:v>Auction</x:v>
      </x:c>
      <x:c r="B18" t="str">
        <x:v>Carson</x:v>
      </x:c>
      <x:c r="C18" t="str">
        <x:v>FanDraft</x:v>
      </x:c>
      <x:c r="D18" s="20" t="str">
        <x:v>B+</x:v>
      </x:c>
      <x:c r="E18" s="21" t="n">
        <x:v>3</x:v>
      </x:c>
      <x:c r="F18" s="23" t="n">
        <x:f>VLOOKUP(D18,'Methodology'!$A$13:$B$25,2,FALSE)</x:f>
        <x:v>88</x:v>
      </x:c>
    </x:row>
    <x:row r="19">
      <x:c r="A19" t="str">
        <x:v>Auction</x:v>
      </x:c>
      <x:c r="B19" t="str">
        <x:v>Kyle</x:v>
      </x:c>
      <x:c r="C19" t="str">
        <x:v>FanDraft</x:v>
      </x:c>
      <x:c r="D19" s="20" t="str">
        <x:v>B</x:v>
      </x:c>
      <x:c r="E19" s="21" t="n">
        <x:v>5</x:v>
      </x:c>
      <x:c r="F19" s="23" t="n">
        <x:f>VLOOKUP(D19,'Methodology'!$A$13:$B$25,2,FALSE)</x:f>
        <x:v>85</x:v>
      </x:c>
    </x:row>
    <x:row r="20">
      <x:c r="A20" t="str">
        <x:v>Auction</x:v>
      </x:c>
      <x:c r="B20" t="str">
        <x:v>McCade</x:v>
      </x:c>
      <x:c r="C20" t="str">
        <x:v>FanDraft</x:v>
      </x:c>
      <x:c r="D20" s="20" t="str">
        <x:v>C-</x:v>
      </x:c>
      <x:c r="E20" s="21" t="n">
        <x:v>9</x:v>
      </x:c>
      <x:c r="F20" s="23" t="n">
        <x:f>VLOOKUP(D20,'Methodology'!$A$13:$B$25,2,FALSE)</x:f>
        <x:v>71</x:v>
      </x:c>
    </x:row>
    <x:row r="21">
      <x:c r="A21" t="str">
        <x:v>Auction</x:v>
      </x:c>
      <x:c r="B21" t="str">
        <x:v>Easton</x:v>
      </x:c>
      <x:c r="C21" t="str">
        <x:v>FanDraft</x:v>
      </x:c>
      <x:c r="D21" s="20" t="str">
        <x:v>F</x:v>
      </x:c>
      <x:c r="E21" s="21" t="n">
        <x:v>12</x:v>
      </x:c>
      <x:c r="F21" s="23" t="n">
        <x:f>VLOOKUP(D21,'Methodology'!$A$13:$B$25,2,FALSE)</x:f>
        <x:v>55</x:v>
      </x:c>
    </x:row>
    <x:row r="22">
      <x:c r="A22" t="str">
        <x:v>Auction</x:v>
      </x:c>
      <x:c r="B22" t="str">
        <x:v>Colton</x:v>
      </x:c>
      <x:c r="C22" t="str">
        <x:v>FanDraft</x:v>
      </x:c>
      <x:c r="D22" s="20" t="str">
        <x:v>C+</x:v>
      </x:c>
      <x:c r="E22" s="21" t="n">
        <x:v>7</x:v>
      </x:c>
      <x:c r="F22" s="23" t="n">
        <x:f>VLOOKUP(D22,'Methodology'!$A$13:$B$25,2,FALSE)</x:f>
        <x:v>78</x:v>
      </x:c>
    </x:row>
    <x:row r="23">
      <x:c r="A23" t="str">
        <x:v>Auction</x:v>
      </x:c>
      <x:c r="B23" t="str">
        <x:v>Kristin</x:v>
      </x:c>
      <x:c r="C23" t="str">
        <x:v>FanDraft</x:v>
      </x:c>
      <x:c r="D23" s="20" t="str">
        <x:v>D</x:v>
      </x:c>
      <x:c r="E23" s="21" t="n">
        <x:v>11</x:v>
      </x:c>
      <x:c r="F23" s="23" t="n">
        <x:f>VLOOKUP(D23,'Methodology'!$A$13:$B$25,2,FALSE)</x:f>
        <x:v>65</x:v>
      </x:c>
    </x:row>
    <x:row r="24">
      <x:c r="A24" t="str">
        <x:v>Auction</x:v>
      </x:c>
      <x:c r="B24" t="str">
        <x:v>Shane</x:v>
      </x:c>
      <x:c r="C24" t="str">
        <x:v>FanDraft</x:v>
      </x:c>
      <x:c r="D24" s="20" t="str">
        <x:v>B+</x:v>
      </x:c>
      <x:c r="E24" s="21" t="n">
        <x:v>4</x:v>
      </x:c>
      <x:c r="F24" s="23" t="n">
        <x:f>VLOOKUP(D24,'Methodology'!$A$13:$B$25,2,FALSE)</x:f>
        <x:v>88</x:v>
      </x:c>
    </x:row>
    <x:row r="25">
      <x:c r="A25" t="str">
        <x:v>Auction</x:v>
      </x:c>
      <x:c r="B25" t="str">
        <x:v>Dallin</x:v>
      </x:c>
      <x:c r="C25" t="str">
        <x:v>FanDraft</x:v>
      </x:c>
      <x:c r="D25" s="20" t="str">
        <x:v>A</x:v>
      </x:c>
      <x:c r="E25" s="21" t="n">
        <x:v>1</x:v>
      </x:c>
      <x:c r="F25" s="23" t="n">
        <x:f>VLOOKUP(D25,'Methodology'!$A$13:$B$25,2,FALSE)</x:f>
        <x:v>95</x:v>
      </x:c>
    </x:row>
    <x:row r="26">
      <x:c r="A26" t="str">
        <x:v>Auction</x:v>
      </x:c>
      <x:c r="B26" t="str">
        <x:v>ToddB</x:v>
      </x:c>
      <x:c r="C26" t="str">
        <x:v>FanDraft</x:v>
      </x:c>
      <x:c r="D26" s="20" t="str">
        <x:v>B</x:v>
      </x:c>
      <x:c r="E26" s="21" t="n">
        <x:v>6</x:v>
      </x:c>
      <x:c r="F26" s="23" t="n">
        <x:f>VLOOKUP(D26,'Methodology'!$A$13:$B$25,2,FALSE)</x:f>
        <x:v>85</x:v>
      </x:c>
    </x:row>
    <x:row r="27">
      <x:c r="A27" t="str">
        <x:v>Auction</x:v>
      </x:c>
      <x:c r="B27" t="str">
        <x:v>Tyler</x:v>
      </x:c>
      <x:c r="C27" t="str">
        <x:v>FanDraft</x:v>
      </x:c>
      <x:c r="D27" s="20" t="str">
        <x:v>A-</x:v>
      </x:c>
      <x:c r="E27" s="21" t="n">
        <x:v>2</x:v>
      </x:c>
      <x:c r="F27" s="23" t="n">
        <x:f>VLOOKUP(D27,'Methodology'!$A$13:$B$25,2,FALSE)</x:f>
        <x:v>91</x:v>
      </x:c>
    </x:row>
    <x:row r="28">
      <x:c r="A28" t="str">
        <x:v>Auction</x:v>
      </x:c>
      <x:c r="B28" t="str">
        <x:v>Woody</x:v>
      </x:c>
      <x:c r="C28" t="str">
        <x:v>FanDraft</x:v>
      </x:c>
      <x:c r="D28" s="20" t="str">
        <x:v>D</x:v>
      </x:c>
      <x:c r="E28" s="21" t="n">
        <x:v>10</x:v>
      </x:c>
      <x:c r="F28" s="23" t="n">
        <x:f>VLOOKUP(D28,'Methodology'!$A$13:$B$25,2,FALSE)</x:f>
        <x:v>65</x:v>
      </x:c>
    </x:row>
    <x:row r="29">
      <x:c r="A29" t="str">
        <x:v>Auction</x:v>
      </x:c>
      <x:c r="B29" t="str">
        <x:v>Reyes</x:v>
      </x:c>
      <x:c r="C29" t="str">
        <x:v>FanDraft</x:v>
      </x:c>
      <x:c r="D29" s="20" t="str">
        <x:v>C</x:v>
      </x:c>
      <x:c r="E29" s="21" t="n">
        <x:v>8</x:v>
      </x:c>
      <x:c r="F29" s="23" t="n">
        <x:f>VLOOKUP(D29,'Methodology'!$A$13:$B$25,2,FALSE)</x:f>
        <x:v>75</x:v>
      </x:c>
    </x:row>
    <x:row r="30">
      <x:c r="A30" t="str">
        <x:v>Auction</x:v>
      </x:c>
      <x:c r="B30" t="str">
        <x:v>Carson</x:v>
      </x:c>
      <x:c r="C30" t="str">
        <x:v>McCade's</x:v>
      </x:c>
      <x:c r="D30" s="20" t="n">
        <x:v>84.7</x:v>
      </x:c>
      <x:c r="E30" s="21" t="n">
        <x:v>5</x:v>
      </x:c>
      <x:c r="F30" s="23" t="n">
        <x:f>D30</x:f>
        <x:v>84.7</x:v>
      </x:c>
    </x:row>
    <x:row r="31">
      <x:c r="A31" t="str">
        <x:v>Auction</x:v>
      </x:c>
      <x:c r="B31" t="str">
        <x:v>Kyle</x:v>
      </x:c>
      <x:c r="C31" t="str">
        <x:v>McCade's</x:v>
      </x:c>
      <x:c r="D31" s="20" t="n">
        <x:v>94.8</x:v>
      </x:c>
      <x:c r="E31" s="21" t="n">
        <x:v>1</x:v>
      </x:c>
      <x:c r="F31" s="23" t="n">
        <x:f>D31</x:f>
        <x:v>94.8</x:v>
      </x:c>
    </x:row>
    <x:row r="32">
      <x:c r="A32" t="str">
        <x:v>Auction</x:v>
      </x:c>
      <x:c r="B32" t="str">
        <x:v>McCade</x:v>
      </x:c>
      <x:c r="C32" t="str">
        <x:v>McCade's</x:v>
      </x:c>
      <x:c r="D32" s="20" t="n">
        <x:v>85.3</x:v>
      </x:c>
      <x:c r="E32" s="21" t="n">
        <x:v>4</x:v>
      </x:c>
      <x:c r="F32" s="23" t="n">
        <x:f>D32</x:f>
        <x:v>85.3</x:v>
      </x:c>
    </x:row>
    <x:row r="33">
      <x:c r="A33" t="str">
        <x:v>Auction</x:v>
      </x:c>
      <x:c r="B33" t="str">
        <x:v>Easton</x:v>
      </x:c>
      <x:c r="C33" t="str">
        <x:v>McCade's</x:v>
      </x:c>
      <x:c r="D33" s="20" t="n">
        <x:v>79</x:v>
      </x:c>
      <x:c r="E33" s="21" t="n">
        <x:v>9</x:v>
      </x:c>
      <x:c r="F33" s="23" t="n">
        <x:f>D33</x:f>
        <x:v>79</x:v>
      </x:c>
    </x:row>
    <x:row r="34">
      <x:c r="A34" t="str">
        <x:v>Auction</x:v>
      </x:c>
      <x:c r="B34" t="str">
        <x:v>Colton</x:v>
      </x:c>
      <x:c r="C34" t="str">
        <x:v>McCade's</x:v>
      </x:c>
      <x:c r="D34" s="20" t="n">
        <x:v>78</x:v>
      </x:c>
      <x:c r="E34" s="21" t="n">
        <x:v>10</x:v>
      </x:c>
      <x:c r="F34" s="23" t="n">
        <x:f>D34</x:f>
        <x:v>78</x:v>
      </x:c>
    </x:row>
    <x:row r="35">
      <x:c r="A35" t="str">
        <x:v>Auction</x:v>
      </x:c>
      <x:c r="B35" t="str">
        <x:v>Kristin</x:v>
      </x:c>
      <x:c r="C35" t="str">
        <x:v>McCade's</x:v>
      </x:c>
      <x:c r="D35" s="20" t="n">
        <x:v>91.5</x:v>
      </x:c>
      <x:c r="E35" s="21" t="n">
        <x:v>3</x:v>
      </x:c>
      <x:c r="F35" s="23" t="n">
        <x:f>D35</x:f>
        <x:v>91.5</x:v>
      </x:c>
    </x:row>
    <x:row r="36">
      <x:c r="A36" t="str">
        <x:v>Auction</x:v>
      </x:c>
      <x:c r="B36" t="str">
        <x:v>Shane</x:v>
      </x:c>
      <x:c r="C36" t="str">
        <x:v>McCade's</x:v>
      </x:c>
      <x:c r="D36" s="20" t="n">
        <x:v>81.3</x:v>
      </x:c>
      <x:c r="E36" s="21" t="n">
        <x:v>6</x:v>
      </x:c>
      <x:c r="F36" s="23" t="n">
        <x:f>D36</x:f>
        <x:v>81.3</x:v>
      </x:c>
    </x:row>
    <x:row r="37">
      <x:c r="A37" t="str">
        <x:v>Auction</x:v>
      </x:c>
      <x:c r="B37" t="str">
        <x:v>Dallin</x:v>
      </x:c>
      <x:c r="C37" t="str">
        <x:v>McCade's</x:v>
      </x:c>
      <x:c r="D37" s="20" t="n">
        <x:v>91.7</x:v>
      </x:c>
      <x:c r="E37" s="21" t="n">
        <x:v>2</x:v>
      </x:c>
      <x:c r="F37" s="23" t="n">
        <x:f>D37</x:f>
        <x:v>91.7</x:v>
      </x:c>
    </x:row>
    <x:row r="38">
      <x:c r="A38" t="str">
        <x:v>Auction</x:v>
      </x:c>
      <x:c r="B38" t="str">
        <x:v>ToddB</x:v>
      </x:c>
      <x:c r="C38" t="str">
        <x:v>McCade's</x:v>
      </x:c>
      <x:c r="D38" s="20" t="n">
        <x:v>80.8</x:v>
      </x:c>
      <x:c r="E38" s="21" t="n">
        <x:v>7</x:v>
      </x:c>
      <x:c r="F38" s="23" t="n">
        <x:f>D38</x:f>
        <x:v>80.8</x:v>
      </x:c>
    </x:row>
    <x:row r="39">
      <x:c r="A39" t="str">
        <x:v>Auction</x:v>
      </x:c>
      <x:c r="B39" t="str">
        <x:v>Tyler</x:v>
      </x:c>
      <x:c r="C39" t="str">
        <x:v>McCade's</x:v>
      </x:c>
      <x:c r="D39" s="20" t="n">
        <x:v>79.8</x:v>
      </x:c>
      <x:c r="E39" s="21" t="n">
        <x:v>8</x:v>
      </x:c>
      <x:c r="F39" s="23" t="n">
        <x:f>D39</x:f>
        <x:v>79.8</x:v>
      </x:c>
    </x:row>
    <x:row r="40">
      <x:c r="A40" t="str">
        <x:v>Auction</x:v>
      </x:c>
      <x:c r="B40" t="str">
        <x:v>Woody</x:v>
      </x:c>
      <x:c r="C40" t="str">
        <x:v>McCade's</x:v>
      </x:c>
      <x:c r="D40" s="20" t="n">
        <x:v>77.5</x:v>
      </x:c>
      <x:c r="E40" s="21" t="n">
        <x:v>11</x:v>
      </x:c>
      <x:c r="F40" s="23" t="n">
        <x:f>D40</x:f>
        <x:v>77.5</x:v>
      </x:c>
    </x:row>
    <x:row r="41">
      <x:c r="A41" t="str">
        <x:v>Auction</x:v>
      </x:c>
      <x:c r="B41" t="str">
        <x:v>Reyes</x:v>
      </x:c>
      <x:c r="C41" t="str">
        <x:v>McCade's</x:v>
      </x:c>
      <x:c r="D41" s="20" t="n">
        <x:v>73.7</x:v>
      </x:c>
      <x:c r="E41" s="21" t="n">
        <x:v>12</x:v>
      </x:c>
      <x:c r="F41" s="23" t="n">
        <x:f>D41</x:f>
        <x:v>73.7</x:v>
      </x:c>
    </x:row>
    <x:row r="42">
      <x:c r="A42" t="str">
        <x:v>Snake</x:v>
      </x:c>
      <x:c r="B42" t="str">
        <x:v>Carson</x:v>
      </x:c>
      <x:c r="C42" t="str">
        <x:v>FantasyPros</x:v>
      </x:c>
      <x:c r="D42" s="20" t="n">
        <x:v>100</x:v>
      </x:c>
      <x:c r="E42" s="21" t="n">
        <x:v>1</x:v>
      </x:c>
      <x:c r="F42" s="23" t="n">
        <x:f>D42</x:f>
        <x:v>100</x:v>
      </x:c>
    </x:row>
    <x:row r="43">
      <x:c r="A43" t="str">
        <x:v>Snake</x:v>
      </x:c>
      <x:c r="B43" t="str">
        <x:v>Tyson</x:v>
      </x:c>
      <x:c r="C43" t="str">
        <x:v>FantasyPros</x:v>
      </x:c>
      <x:c r="D43" s="20" t="n">
        <x:v>100</x:v>
      </x:c>
      <x:c r="E43" s="21" t="n">
        <x:v>2</x:v>
      </x:c>
      <x:c r="F43" s="23" t="n">
        <x:f>D43</x:f>
        <x:v>100</x:v>
      </x:c>
    </x:row>
    <x:row r="44">
      <x:c r="A44" t="str">
        <x:v>Snake</x:v>
      </x:c>
      <x:c r="B44" t="str">
        <x:v>McCade</x:v>
      </x:c>
      <x:c r="C44" t="str">
        <x:v>FantasyPros</x:v>
      </x:c>
      <x:c r="D44" s="20" t="n">
        <x:v>97</x:v>
      </x:c>
      <x:c r="E44" s="21" t="n">
        <x:v>3</x:v>
      </x:c>
      <x:c r="F44" s="23" t="n">
        <x:f>D44</x:f>
        <x:v>97</x:v>
      </x:c>
    </x:row>
    <x:row r="45">
      <x:c r="A45" t="str">
        <x:v>Snake</x:v>
      </x:c>
      <x:c r="B45" t="str">
        <x:v>Easton</x:v>
      </x:c>
      <x:c r="C45" t="str">
        <x:v>FantasyPros</x:v>
      </x:c>
      <x:c r="D45" s="20" t="n">
        <x:v>93</x:v>
      </x:c>
      <x:c r="E45" s="21" t="n">
        <x:v>4</x:v>
      </x:c>
      <x:c r="F45" s="23" t="n">
        <x:f>D45</x:f>
        <x:v>93</x:v>
      </x:c>
    </x:row>
    <x:row r="46">
      <x:c r="A46" t="str">
        <x:v>Snake</x:v>
      </x:c>
      <x:c r="B46" t="str">
        <x:v>Colton</x:v>
      </x:c>
      <x:c r="C46" t="str">
        <x:v>FantasyPros</x:v>
      </x:c>
      <x:c r="D46" s="20" t="n">
        <x:v>93</x:v>
      </x:c>
      <x:c r="E46" s="21" t="n">
        <x:v>5</x:v>
      </x:c>
      <x:c r="F46" s="23" t="n">
        <x:f>D46</x:f>
        <x:v>93</x:v>
      </x:c>
    </x:row>
    <x:row r="47">
      <x:c r="A47" t="str">
        <x:v>Snake</x:v>
      </x:c>
      <x:c r="B47" t="str">
        <x:v>ToddA</x:v>
      </x:c>
      <x:c r="C47" t="str">
        <x:v>FantasyPros</x:v>
      </x:c>
      <x:c r="D47" s="20" t="n">
        <x:v>91</x:v>
      </x:c>
      <x:c r="E47" s="21" t="n">
        <x:v>6</x:v>
      </x:c>
      <x:c r="F47" s="23" t="n">
        <x:f>D47</x:f>
        <x:v>91</x:v>
      </x:c>
    </x:row>
    <x:row r="48">
      <x:c r="A48" t="str">
        <x:v>Snake</x:v>
      </x:c>
      <x:c r="B48" t="str">
        <x:v>Shane</x:v>
      </x:c>
      <x:c r="C48" t="str">
        <x:v>FantasyPros</x:v>
      </x:c>
      <x:c r="D48" s="20" t="n">
        <x:v>90</x:v>
      </x:c>
      <x:c r="E48" s="21" t="n">
        <x:v>7</x:v>
      </x:c>
      <x:c r="F48" s="23" t="n">
        <x:f>D48</x:f>
        <x:v>90</x:v>
      </x:c>
    </x:row>
    <x:row r="49">
      <x:c r="A49" t="str">
        <x:v>Snake</x:v>
      </x:c>
      <x:c r="B49" t="str">
        <x:v>Dallin</x:v>
      </x:c>
      <x:c r="C49" t="str">
        <x:v>FantasyPros</x:v>
      </x:c>
      <x:c r="D49" s="20" t="n">
        <x:v>89</x:v>
      </x:c>
      <x:c r="E49" s="21" t="n">
        <x:v>8</x:v>
      </x:c>
      <x:c r="F49" s="23" t="n">
        <x:f>D49</x:f>
        <x:v>89</x:v>
      </x:c>
    </x:row>
    <x:row r="50">
      <x:c r="A50" t="str">
        <x:v>Snake</x:v>
      </x:c>
      <x:c r="B50" t="str">
        <x:v>ToddB</x:v>
      </x:c>
      <x:c r="C50" t="str">
        <x:v>FantasyPros</x:v>
      </x:c>
      <x:c r="D50" s="20" t="n">
        <x:v>88</x:v>
      </x:c>
      <x:c r="E50" s="21" t="n">
        <x:v>9</x:v>
      </x:c>
      <x:c r="F50" s="23" t="n">
        <x:f>D50</x:f>
        <x:v>88</x:v>
      </x:c>
    </x:row>
    <x:row r="51">
      <x:c r="A51" t="str">
        <x:v>Snake</x:v>
      </x:c>
      <x:c r="B51" t="str">
        <x:v>Tyler</x:v>
      </x:c>
      <x:c r="C51" t="str">
        <x:v>FantasyPros</x:v>
      </x:c>
      <x:c r="D51" s="20" t="n">
        <x:v>84</x:v>
      </x:c>
      <x:c r="E51" s="21" t="n">
        <x:v>10</x:v>
      </x:c>
      <x:c r="F51" s="23" t="n">
        <x:f>D51</x:f>
        <x:v>84</x:v>
      </x:c>
    </x:row>
    <x:row r="52">
      <x:c r="A52" t="str">
        <x:v>Snake</x:v>
      </x:c>
      <x:c r="B52" t="str">
        <x:v>Woody</x:v>
      </x:c>
      <x:c r="C52" t="str">
        <x:v>FantasyPros</x:v>
      </x:c>
      <x:c r="D52" s="20" t="n">
        <x:v>76</x:v>
      </x:c>
      <x:c r="E52" s="21" t="n">
        <x:v>11</x:v>
      </x:c>
      <x:c r="F52" s="23" t="n">
        <x:f>D52</x:f>
        <x:v>76</x:v>
      </x:c>
    </x:row>
    <x:row r="53">
      <x:c r="A53" t="str">
        <x:v>Snake</x:v>
      </x:c>
      <x:c r="B53" t="str">
        <x:v>Reyes</x:v>
      </x:c>
      <x:c r="C53" t="str">
        <x:v>FantasyPros</x:v>
      </x:c>
      <x:c r="D53" s="20" t="n">
        <x:v>73</x:v>
      </x:c>
      <x:c r="E53" s="21" t="n">
        <x:v>12</x:v>
      </x:c>
      <x:c r="F53" s="23" t="n">
        <x:f>D53</x:f>
        <x:v>73</x:v>
      </x:c>
    </x:row>
    <x:row r="54">
      <x:c r="A54" t="str">
        <x:v>Snake</x:v>
      </x:c>
      <x:c r="B54" t="str">
        <x:v>Carson</x:v>
      </x:c>
      <x:c r="C54" t="str">
        <x:v>Yahoo</x:v>
      </x:c>
      <x:c r="D54" s="20" t="str">
        <x:v>A+</x:v>
      </x:c>
      <x:c r="E54" s="21" t="n">
        <x:v>2</x:v>
      </x:c>
      <x:c r="F54" s="23" t="n">
        <x:f>VLOOKUP(D54,'Methodology'!$A$13:$B$25,2,FALSE)</x:f>
        <x:v>98</x:v>
      </x:c>
    </x:row>
    <x:row r="55">
      <x:c r="A55" t="str">
        <x:v>Snake</x:v>
      </x:c>
      <x:c r="B55" t="str">
        <x:v>Tyson</x:v>
      </x:c>
      <x:c r="C55" t="str">
        <x:v>Yahoo</x:v>
      </x:c>
      <x:c r="D55" s="20" t="str">
        <x:v>A-</x:v>
      </x:c>
      <x:c r="E55" s="21" t="n">
        <x:v>8</x:v>
      </x:c>
      <x:c r="F55" s="23" t="n">
        <x:f>VLOOKUP(D55,'Methodology'!$A$13:$B$25,2,FALSE)</x:f>
        <x:v>91</x:v>
      </x:c>
    </x:row>
    <x:row r="56">
      <x:c r="A56" t="str">
        <x:v>Snake</x:v>
      </x:c>
      <x:c r="B56" t="str">
        <x:v>McCade</x:v>
      </x:c>
      <x:c r="C56" t="str">
        <x:v>Yahoo</x:v>
      </x:c>
      <x:c r="D56" s="20" t="str">
        <x:v>A-</x:v>
      </x:c>
      <x:c r="E56" s="21" t="n">
        <x:v>3</x:v>
      </x:c>
      <x:c r="F56" s="23" t="n">
        <x:f>VLOOKUP(D56,'Methodology'!$A$13:$B$25,2,FALSE)</x:f>
        <x:v>91</x:v>
      </x:c>
    </x:row>
    <x:row r="57">
      <x:c r="A57" t="str">
        <x:v>Snake</x:v>
      </x:c>
      <x:c r="B57" t="str">
        <x:v>Easton</x:v>
      </x:c>
      <x:c r="C57" t="str">
        <x:v>Yahoo</x:v>
      </x:c>
      <x:c r="D57" s="20" t="str">
        <x:v>A+</x:v>
      </x:c>
      <x:c r="E57" s="21" t="n">
        <x:v>1</x:v>
      </x:c>
      <x:c r="F57" s="23" t="n">
        <x:f>VLOOKUP(D57,'Methodology'!$A$13:$B$25,2,FALSE)</x:f>
        <x:v>98</x:v>
      </x:c>
    </x:row>
    <x:row r="58">
      <x:c r="A58" t="str">
        <x:v>Snake</x:v>
      </x:c>
      <x:c r="B58" t="str">
        <x:v>Colton</x:v>
      </x:c>
      <x:c r="C58" t="str">
        <x:v>Yahoo</x:v>
      </x:c>
      <x:c r="D58" s="20" t="str">
        <x:v>D+</x:v>
      </x:c>
      <x:c r="E58" s="21" t="n">
        <x:v>9</x:v>
      </x:c>
      <x:c r="F58" s="23" t="n">
        <x:f>VLOOKUP(D58,'Methodology'!$A$13:$B$25,2,FALSE)</x:f>
        <x:v>68</x:v>
      </x:c>
    </x:row>
    <x:row r="59">
      <x:c r="A59" t="str">
        <x:v>Snake</x:v>
      </x:c>
      <x:c r="B59" t="str">
        <x:v>ToddA</x:v>
      </x:c>
      <x:c r="C59" t="str">
        <x:v>Yahoo</x:v>
      </x:c>
      <x:c r="D59" s="20" t="str">
        <x:v>D</x:v>
      </x:c>
      <x:c r="E59" s="21" t="n">
        <x:v>11</x:v>
      </x:c>
      <x:c r="F59" s="23" t="n">
        <x:f>VLOOKUP(D59,'Methodology'!$A$13:$B$25,2,FALSE)</x:f>
        <x:v>65</x:v>
      </x:c>
    </x:row>
    <x:row r="60">
      <x:c r="A60" t="str">
        <x:v>Snake</x:v>
      </x:c>
      <x:c r="B60" t="str">
        <x:v>Shane</x:v>
      </x:c>
      <x:c r="C60" t="str">
        <x:v>Yahoo</x:v>
      </x:c>
      <x:c r="D60" s="20" t="str">
        <x:v>B+</x:v>
      </x:c>
      <x:c r="E60" s="21" t="n">
        <x:v>4</x:v>
      </x:c>
      <x:c r="F60" s="23" t="n">
        <x:f>VLOOKUP(D60,'Methodology'!$A$13:$B$25,2,FALSE)</x:f>
        <x:v>88</x:v>
      </x:c>
    </x:row>
    <x:row r="61">
      <x:c r="A61" t="str">
        <x:v>Snake</x:v>
      </x:c>
      <x:c r="B61" t="str">
        <x:v>Dallin</x:v>
      </x:c>
      <x:c r="C61" t="str">
        <x:v>Yahoo</x:v>
      </x:c>
      <x:c r="D61" s="20" t="str">
        <x:v>C</x:v>
      </x:c>
      <x:c r="E61" s="21" t="n">
        <x:v>6</x:v>
      </x:c>
      <x:c r="F61" s="23" t="n">
        <x:f>VLOOKUP(D61,'Methodology'!$A$13:$B$25,2,FALSE)</x:f>
        <x:v>75</x:v>
      </x:c>
    </x:row>
    <x:row r="62">
      <x:c r="A62" t="str">
        <x:v>Snake</x:v>
      </x:c>
      <x:c r="B62" t="str">
        <x:v>ToddB</x:v>
      </x:c>
      <x:c r="C62" t="str">
        <x:v>Yahoo</x:v>
      </x:c>
      <x:c r="D62" s="20" t="str">
        <x:v>C</x:v>
      </x:c>
      <x:c r="E62" s="21" t="n">
        <x:v>5</x:v>
      </x:c>
      <x:c r="F62" s="23" t="n">
        <x:f>VLOOKUP(D62,'Methodology'!$A$13:$B$25,2,FALSE)</x:f>
        <x:v>75</x:v>
      </x:c>
    </x:row>
    <x:row r="63">
      <x:c r="A63" t="str">
        <x:v>Snake</x:v>
      </x:c>
      <x:c r="B63" t="str">
        <x:v>Tyler</x:v>
      </x:c>
      <x:c r="C63" t="str">
        <x:v>Yahoo</x:v>
      </x:c>
      <x:c r="D63" s="20" t="str">
        <x:v>C</x:v>
      </x:c>
      <x:c r="E63" s="21" t="n">
        <x:v>7</x:v>
      </x:c>
      <x:c r="F63" s="23" t="n">
        <x:f>VLOOKUP(D63,'Methodology'!$A$13:$B$25,2,FALSE)</x:f>
        <x:v>75</x:v>
      </x:c>
    </x:row>
    <x:row r="64">
      <x:c r="A64" t="str">
        <x:v>Snake</x:v>
      </x:c>
      <x:c r="B64" t="str">
        <x:v>Woody</x:v>
      </x:c>
      <x:c r="C64" t="str">
        <x:v>Yahoo</x:v>
      </x:c>
      <x:c r="D64" s="20" t="str">
        <x:v>D+</x:v>
      </x:c>
      <x:c r="E64" s="21" t="n">
        <x:v>10</x:v>
      </x:c>
      <x:c r="F64" s="23" t="n">
        <x:f>VLOOKUP(D64,'Methodology'!$A$13:$B$25,2,FALSE)</x:f>
        <x:v>68</x:v>
      </x:c>
    </x:row>
    <x:row r="65">
      <x:c r="A65" t="str">
        <x:v>Snake</x:v>
      </x:c>
      <x:c r="B65" t="str">
        <x:v>Reyes</x:v>
      </x:c>
      <x:c r="C65" t="str">
        <x:v>Yahoo</x:v>
      </x:c>
      <x:c r="D65" s="20" t="str">
        <x:v>F</x:v>
      </x:c>
      <x:c r="E65" s="21" t="n">
        <x:v>12</x:v>
      </x:c>
      <x:c r="F65" s="23" t="n">
        <x:f>VLOOKUP(D65,'Methodology'!$A$13:$B$25,2,FALSE)</x:f>
        <x:v>55</x:v>
      </x:c>
    </x:row>
    <x:row r="66">
      <x:c r="A66" t="str">
        <x:v>Snake</x:v>
      </x:c>
      <x:c r="B66" t="str">
        <x:v>Reyes</x:v>
      </x:c>
      <x:c r="C66" t="str">
        <x:v>FanDraft</x:v>
      </x:c>
      <x:c r="D66" s="20" t="n">
        <x:v>70.9</x:v>
      </x:c>
      <x:c r="E66" s="21" t="n">
        <x:v>12</x:v>
      </x:c>
      <x:c r="F66" s="23" t="n">
        <x:f>D66</x:f>
        <x:v>70.9</x:v>
      </x:c>
    </x:row>
    <x:row r="67">
      <x:c r="A67" t="str">
        <x:v>Snake</x:v>
      </x:c>
      <x:c r="B67" t="str">
        <x:v>Woody</x:v>
      </x:c>
      <x:c r="C67" t="str">
        <x:v>FanDraft</x:v>
      </x:c>
      <x:c r="D67" s="20" t="n">
        <x:v>74.7</x:v>
      </x:c>
      <x:c r="E67" s="21" t="n">
        <x:v>11</x:v>
      </x:c>
      <x:c r="F67" s="23" t="n">
        <x:f>D67</x:f>
        <x:v>74.7</x:v>
      </x:c>
    </x:row>
    <x:row r="68">
      <x:c r="A68" t="str">
        <x:v>Snake</x:v>
      </x:c>
      <x:c r="B68" t="str">
        <x:v>ToddB</x:v>
      </x:c>
      <x:c r="C68" t="str">
        <x:v>FanDraft</x:v>
      </x:c>
      <x:c r="D68" s="20" t="n">
        <x:v>77.6</x:v>
      </x:c>
      <x:c r="E68" s="21" t="n">
        <x:v>10</x:v>
      </x:c>
      <x:c r="F68" s="23" t="n">
        <x:f>D68</x:f>
        <x:v>77.6</x:v>
      </x:c>
    </x:row>
    <x:row r="69">
      <x:c r="A69" t="str">
        <x:v>Snake</x:v>
      </x:c>
      <x:c r="B69" t="str">
        <x:v>Dallin</x:v>
      </x:c>
      <x:c r="C69" t="str">
        <x:v>FanDraft</x:v>
      </x:c>
      <x:c r="D69" s="20" t="n">
        <x:v>78.6</x:v>
      </x:c>
      <x:c r="E69" s="21" t="n">
        <x:v>9</x:v>
      </x:c>
      <x:c r="F69" s="23" t="n">
        <x:f>D69</x:f>
        <x:v>78.6</x:v>
      </x:c>
    </x:row>
    <x:row r="70">
      <x:c r="A70" t="str">
        <x:v>Snake</x:v>
      </x:c>
      <x:c r="B70" t="str">
        <x:v>Tyler</x:v>
      </x:c>
      <x:c r="C70" t="str">
        <x:v>FanDraft</x:v>
      </x:c>
      <x:c r="D70" s="20" t="n">
        <x:v>79.2</x:v>
      </x:c>
      <x:c r="E70" s="21" t="n">
        <x:v>8</x:v>
      </x:c>
      <x:c r="F70" s="23" t="n">
        <x:f>D70</x:f>
        <x:v>79.2</x:v>
      </x:c>
    </x:row>
    <x:row r="71">
      <x:c r="A71" t="str">
        <x:v>Snake</x:v>
      </x:c>
      <x:c r="B71" t="str">
        <x:v>Tyson</x:v>
      </x:c>
      <x:c r="C71" t="str">
        <x:v>FanDraft</x:v>
      </x:c>
      <x:c r="D71" s="20" t="n">
        <x:v>81.9</x:v>
      </x:c>
      <x:c r="E71" s="21" t="n">
        <x:v>7</x:v>
      </x:c>
      <x:c r="F71" s="23" t="n">
        <x:f>D71</x:f>
        <x:v>81.9</x:v>
      </x:c>
    </x:row>
    <x:row r="72">
      <x:c r="A72" t="str">
        <x:v>Snake</x:v>
      </x:c>
      <x:c r="B72" t="str">
        <x:v>ToddA</x:v>
      </x:c>
      <x:c r="C72" t="str">
        <x:v>FanDraft</x:v>
      </x:c>
      <x:c r="D72" s="20" t="n">
        <x:v>83.8</x:v>
      </x:c>
      <x:c r="E72" s="21" t="n">
        <x:v>6</x:v>
      </x:c>
      <x:c r="F72" s="23" t="n">
        <x:f>D72</x:f>
        <x:v>83.8</x:v>
      </x:c>
    </x:row>
    <x:row r="73">
      <x:c r="A73" t="str">
        <x:v>Snake</x:v>
      </x:c>
      <x:c r="B73" t="str">
        <x:v>Shane</x:v>
      </x:c>
      <x:c r="C73" t="str">
        <x:v>FanDraft</x:v>
      </x:c>
      <x:c r="D73" s="20" t="n">
        <x:v>88.2</x:v>
      </x:c>
      <x:c r="E73" s="21" t="n">
        <x:v>5</x:v>
      </x:c>
      <x:c r="F73" s="23" t="n">
        <x:f>D73</x:f>
        <x:v>88.2</x:v>
      </x:c>
    </x:row>
    <x:row r="74">
      <x:c r="A74" t="str">
        <x:v>Snake</x:v>
      </x:c>
      <x:c r="B74" t="str">
        <x:v>Easton</x:v>
      </x:c>
      <x:c r="C74" t="str">
        <x:v>FanDraft</x:v>
      </x:c>
      <x:c r="D74" s="20" t="n">
        <x:v>88.7</x:v>
      </x:c>
      <x:c r="E74" s="21" t="n">
        <x:v>4</x:v>
      </x:c>
      <x:c r="F74" s="23" t="n">
        <x:f>D74</x:f>
        <x:v>88.7</x:v>
      </x:c>
    </x:row>
    <x:row r="75">
      <x:c r="A75" t="str">
        <x:v>Snake</x:v>
      </x:c>
      <x:c r="B75" t="str">
        <x:v>McCade</x:v>
      </x:c>
      <x:c r="C75" t="str">
        <x:v>FanDraft</x:v>
      </x:c>
      <x:c r="D75" s="20" t="n">
        <x:v>91</x:v>
      </x:c>
      <x:c r="E75" s="21" t="n">
        <x:v>3</x:v>
      </x:c>
      <x:c r="F75" s="23" t="n">
        <x:f>D75</x:f>
        <x:v>91</x:v>
      </x:c>
    </x:row>
    <x:row r="76">
      <x:c r="A76" t="str">
        <x:v>Snake</x:v>
      </x:c>
      <x:c r="B76" t="str">
        <x:v>Colton</x:v>
      </x:c>
      <x:c r="C76" t="str">
        <x:v>FanDraft</x:v>
      </x:c>
      <x:c r="D76" s="20" t="n">
        <x:v>91.6</x:v>
      </x:c>
      <x:c r="E76" s="21" t="n">
        <x:v>2</x:v>
      </x:c>
      <x:c r="F76" s="23" t="n">
        <x:f>D76</x:f>
        <x:v>91.6</x:v>
      </x:c>
    </x:row>
    <x:row r="77">
      <x:c r="A77" t="str">
        <x:v>Snake</x:v>
      </x:c>
      <x:c r="B77" t="str">
        <x:v>Carson</x:v>
      </x:c>
      <x:c r="C77" t="str">
        <x:v>FanDraft</x:v>
      </x:c>
      <x:c r="D77" s="20" t="n">
        <x:v>92.1</x:v>
      </x:c>
      <x:c r="E77" s="21" t="n">
        <x:v>1</x:v>
      </x:c>
      <x:c r="F77" s="23" t="n">
        <x:f>D77</x:f>
        <x:v>92.1</x:v>
      </x:c>
    </x:row>
    <x:row r="78">
      <x:c r="A78" t="str">
        <x:v>Snake</x:v>
      </x:c>
      <x:c r="B78" t="str">
        <x:v>Carson</x:v>
      </x:c>
      <x:c r="C78" t="str">
        <x:v>McCade's</x:v>
      </x:c>
      <x:c r="D78" s="20" t="str">
        <x:v>C+</x:v>
      </x:c>
      <x:c r="E78" s="21" t="n">
        <x:v>7</x:v>
      </x:c>
      <x:c r="F78" s="23" t="n">
        <x:f>VLOOKUP(D78,'Methodology'!$A$13:$B$25,2,FALSE)</x:f>
        <x:v>78</x:v>
      </x:c>
    </x:row>
    <x:row r="79">
      <x:c r="A79" t="str">
        <x:v>Snake</x:v>
      </x:c>
      <x:c r="B79" t="str">
        <x:v>Tyson</x:v>
      </x:c>
      <x:c r="C79" t="str">
        <x:v>McCade's</x:v>
      </x:c>
      <x:c r="D79" s="20" t="str">
        <x:v>A-</x:v>
      </x:c>
      <x:c r="E79" s="21" t="n">
        <x:v>2</x:v>
      </x:c>
      <x:c r="F79" s="23" t="n">
        <x:f>VLOOKUP(D79,'Methodology'!$A$13:$B$25,2,FALSE)</x:f>
        <x:v>91</x:v>
      </x:c>
    </x:row>
    <x:row r="80">
      <x:c r="A80" t="str">
        <x:v>Snake</x:v>
      </x:c>
      <x:c r="B80" t="str">
        <x:v>McCade</x:v>
      </x:c>
      <x:c r="C80" t="str">
        <x:v>McCade's</x:v>
      </x:c>
      <x:c r="D80" s="20" t="str">
        <x:v>C</x:v>
      </x:c>
      <x:c r="E80" s="21" t="n">
        <x:v>8</x:v>
      </x:c>
      <x:c r="F80" s="23" t="n">
        <x:f>VLOOKUP(D80,'Methodology'!$A$13:$B$25,2,FALSE)</x:f>
        <x:v>75</x:v>
      </x:c>
    </x:row>
    <x:row r="81">
      <x:c r="A81" t="str">
        <x:v>Snake</x:v>
      </x:c>
      <x:c r="B81" t="str">
        <x:v>Easton</x:v>
      </x:c>
      <x:c r="C81" t="str">
        <x:v>McCade's</x:v>
      </x:c>
      <x:c r="D81" s="20" t="str">
        <x:v>B</x:v>
      </x:c>
      <x:c r="E81" s="21" t="n">
        <x:v>5</x:v>
      </x:c>
      <x:c r="F81" s="23" t="n">
        <x:f>VLOOKUP(D81,'Methodology'!$A$13:$B$25,2,FALSE)</x:f>
        <x:v>85</x:v>
      </x:c>
    </x:row>
    <x:row r="82">
      <x:c r="A82" t="str">
        <x:v>Snake</x:v>
      </x:c>
      <x:c r="B82" t="str">
        <x:v>Colton</x:v>
      </x:c>
      <x:c r="C82" t="str">
        <x:v>McCade's</x:v>
      </x:c>
      <x:c r="D82" s="20" t="str">
        <x:v>B+</x:v>
      </x:c>
      <x:c r="E82" s="21" t="n">
        <x:v>4</x:v>
      </x:c>
      <x:c r="F82" s="23" t="n">
        <x:f>VLOOKUP(D82,'Methodology'!$A$13:$B$25,2,FALSE)</x:f>
        <x:v>88</x:v>
      </x:c>
    </x:row>
    <x:row r="83">
      <x:c r="A83" t="str">
        <x:v>Snake</x:v>
      </x:c>
      <x:c r="B83" t="str">
        <x:v>ToddA</x:v>
      </x:c>
      <x:c r="C83" t="str">
        <x:v>McCade's</x:v>
      </x:c>
      <x:c r="D83" s="20" t="str">
        <x:v>B+</x:v>
      </x:c>
      <x:c r="E83" s="21" t="n">
        <x:v>3</x:v>
      </x:c>
      <x:c r="F83" s="23" t="n">
        <x:f>VLOOKUP(D83,'Methodology'!$A$13:$B$25,2,FALSE)</x:f>
        <x:v>88</x:v>
      </x:c>
    </x:row>
    <x:row r="84">
      <x:c r="A84" t="str">
        <x:v>Snake</x:v>
      </x:c>
      <x:c r="B84" t="str">
        <x:v>Shane</x:v>
      </x:c>
      <x:c r="C84" t="str">
        <x:v>McCade's</x:v>
      </x:c>
      <x:c r="D84" s="20" t="str">
        <x:v>A</x:v>
      </x:c>
      <x:c r="E84" s="21" t="n">
        <x:v>1</x:v>
      </x:c>
      <x:c r="F84" s="23" t="n">
        <x:f>VLOOKUP(D84,'Methodology'!$A$13:$B$25,2,FALSE)</x:f>
        <x:v>95</x:v>
      </x:c>
    </x:row>
    <x:row r="85">
      <x:c r="A85" t="str">
        <x:v>Snake</x:v>
      </x:c>
      <x:c r="B85" t="str">
        <x:v>Dallin</x:v>
      </x:c>
      <x:c r="C85" t="str">
        <x:v>McCade's</x:v>
      </x:c>
      <x:c r="D85" s="20" t="str">
        <x:v>C-</x:v>
      </x:c>
      <x:c r="E85" s="21" t="n">
        <x:v>9</x:v>
      </x:c>
      <x:c r="F85" s="23" t="n">
        <x:f>VLOOKUP(D85,'Methodology'!$A$13:$B$25,2,FALSE)</x:f>
        <x:v>71</x:v>
      </x:c>
    </x:row>
    <x:row r="86">
      <x:c r="A86" t="str">
        <x:v>Snake</x:v>
      </x:c>
      <x:c r="B86" t="str">
        <x:v>ToddB</x:v>
      </x:c>
      <x:c r="C86" t="str">
        <x:v>McCade's</x:v>
      </x:c>
      <x:c r="D86" s="20" t="str">
        <x:v>B</x:v>
      </x:c>
      <x:c r="E86" s="21" t="n">
        <x:v>6</x:v>
      </x:c>
      <x:c r="F86" s="23" t="n">
        <x:f>VLOOKUP(D86,'Methodology'!$A$13:$B$25,2,FALSE)</x:f>
        <x:v>85</x:v>
      </x:c>
    </x:row>
    <x:row r="87">
      <x:c r="A87" t="str">
        <x:v>Snake</x:v>
      </x:c>
      <x:c r="B87" t="str">
        <x:v>Tyler</x:v>
      </x:c>
      <x:c r="C87" t="str">
        <x:v>McCade's</x:v>
      </x:c>
      <x:c r="D87" s="20" t="str">
        <x:v>D</x:v>
      </x:c>
      <x:c r="E87" s="21" t="n">
        <x:v>10</x:v>
      </x:c>
      <x:c r="F87" s="23" t="n">
        <x:f>VLOOKUP(D87,'Methodology'!$A$13:$B$25,2,FALSE)</x:f>
        <x:v>65</x:v>
      </x:c>
    </x:row>
    <x:row r="88">
      <x:c r="A88" t="str">
        <x:v>Snake</x:v>
      </x:c>
      <x:c r="B88" t="str">
        <x:v>Woody</x:v>
      </x:c>
      <x:c r="C88" t="str">
        <x:v>McCade's</x:v>
      </x:c>
      <x:c r="D88" s="20" t="str">
        <x:v>F</x:v>
      </x:c>
      <x:c r="E88" s="21" t="n">
        <x:v>12</x:v>
      </x:c>
      <x:c r="F88" s="23" t="n">
        <x:f>VLOOKUP(D88,'Methodology'!$A$13:$B$25,2,FALSE)</x:f>
        <x:v>55</x:v>
      </x:c>
    </x:row>
    <x:row r="89">
      <x:c r="A89" t="str">
        <x:v>Snake</x:v>
      </x:c>
      <x:c r="B89" t="str">
        <x:v>Reyes</x:v>
      </x:c>
      <x:c r="C89" t="str">
        <x:v>McCade's</x:v>
      </x:c>
      <x:c r="D89" s="20" t="str">
        <x:v>D</x:v>
      </x:c>
      <x:c r="E89" s="21" t="n">
        <x:v>11</x:v>
      </x:c>
      <x:c r="F89" s="23" t="n">
        <x:f>VLOOKUP(D89,'Methodology'!$A$13:$B$25,2,FALSE)</x:f>
        <x:v>65</x:v>
      </x:c>
    </x:row>
  </x:sheetData>
  <x:mergeCells>
    <x:mergeCell ref="A1:F1"/>
    <x:mergeCell ref="A2:F2"/>
  </x:mergeCells>
  <x:conditionalFormatting sqref="E6:E8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F6:F89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ec44643a6184b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3.75" hidden="0" customWidth="1"/>
    <x:col min="3" max="3" width="2.25" hidden="0" customWidth="1"/>
    <x:col min="4" max="4" width="15" hidden="0" customWidth="1"/>
    <x:col min="5" max="5" width="18.75" hidden="0" customWidth="1"/>
    <x:col min="6" max="6" width="45" hidden="0" customWidth="1"/>
  </x:cols>
  <x:sheetData>
    <x:row r="1" ht="30" customHeight="1">
      <x:c r="A1" s="3" t="str">
        <x:v>Consensus methodology</x:v>
      </x:c>
      <x:c r="B1" s="3" t="str">
        <x:v>Consensus methodology</x:v>
      </x:c>
      <x:c r="C1" s="3" t="str">
        <x:v>Consensus methodology</x:v>
      </x:c>
      <x:c r="D1" s="3" t="str">
        <x:v>Consensus methodology</x:v>
      </x:c>
      <x:c r="E1" s="3" t="str">
        <x:v>Consensus methodology</x:v>
      </x:c>
      <x:c r="F1" s="3" t="str">
        <x:v>Consensus methodology</x:v>
      </x:c>
    </x:row>
    <x:row r="2" ht="25.5" customHeight="1">
      <x:c r="A2" s="7" t="str">
        <x:v>How mixed letter and numeric grades are standardized and ranked</x:v>
      </x:c>
      <x:c r="B2" s="7" t="str">
        <x:v>How mixed letter and numeric grades are standardized and ranked</x:v>
      </x:c>
      <x:c r="C2" s="7" t="str">
        <x:v>How mixed letter and numeric grades are standardized and ranked</x:v>
      </x:c>
      <x:c r="D2" s="7" t="str">
        <x:v>How mixed letter and numeric grades are standardized and ranked</x:v>
      </x:c>
      <x:c r="E2" s="7" t="str">
        <x:v>How mixed letter and numeric grades are standardized and ranked</x:v>
      </x:c>
      <x:c r="F2" s="7" t="str">
        <x:v>How mixed letter and numeric grades are standardized and ranked</x:v>
      </x:c>
    </x:row>
    <x:row r="4">
      <x:c r="A4" s="10" t="str">
        <x:v>Rule</x:v>
      </x:c>
      <x:c r="B4" s="10" t="str">
        <x:v>Definition</x:v>
      </x:c>
      <x:c r="C4" s="10" t="str"/>
      <x:c r="D4" s="10" t="str">
        <x:v>Output</x:v>
      </x:c>
      <x:c r="E4" s="10" t="str">
        <x:v>Formula logic</x:v>
      </x:c>
      <x:c r="F4" s="10" t="str">
        <x:v>Interpretation</x:v>
      </x:c>
    </x:row>
    <x:row r="5">
      <x:c r="A5" s="14" t="str">
        <x:v>Average rank</x:v>
      </x:c>
      <x:c r="B5" s="14" t="str">
        <x:v>Arithmetic mean of every site's published team rank</x:v>
      </x:c>
      <x:c r="C5" s="14" t="str"/>
      <x:c r="D5" s="14" t="str">
        <x:v>Lower is better</x:v>
      </x:c>
      <x:c r="E5" s="14" t="str">
        <x:v>AVERAGE(site ranks)</x:v>
      </x:c>
      <x:c r="F5" s="14" t="str">
        <x:v>Primary consensus ordering</x:v>
      </x:c>
    </x:row>
    <x:row r="6">
      <x:c r="A6" s="14" t="str">
        <x:v>Consensus rank</x:v>
      </x:c>
      <x:c r="B6" s="14" t="str">
        <x:v>Rank of average site rank within that draft</x:v>
      </x:c>
      <x:c r="C6" s="14" t="str"/>
      <x:c r="D6" s="14" t="str">
        <x:v>1–12</x:v>
      </x:c>
      <x:c r="E6" s="14" t="str">
        <x:v>RANK(avg rank, league, ascending)</x:v>
      </x:c>
      <x:c r="F6" s="14" t="str">
        <x:v>Tie-break: average grade score</x:v>
      </x:c>
    </x:row>
    <x:row r="7">
      <x:c r="A7" s="14" t="str">
        <x:v>Normalized grade</x:v>
      </x:c>
      <x:c r="B7" s="14" t="str">
        <x:v>Numeric grades stay numeric; letters use the scale below</x:v>
      </x:c>
      <x:c r="C7" s="14" t="str"/>
      <x:c r="D7" s="14" t="str">
        <x:v>0–100 scale</x:v>
      </x:c>
      <x:c r="E7" s="14" t="str">
        <x:v>Numeric or lookup</x:v>
      </x:c>
      <x:c r="F7" s="14" t="str">
        <x:v>Used only to create one consensus letter grade</x:v>
      </x:c>
    </x:row>
    <x:row r="8">
      <x:c r="A8" s="14" t="str">
        <x:v>Consensus grade</x:v>
      </x:c>
      <x:c r="B8" s="14" t="str">
        <x:v>Letter band from the average normalized grade score</x:v>
      </x:c>
      <x:c r="C8" s="14" t="str"/>
      <x:c r="D8" s="14" t="str">
        <x:v>A+ to F</x:v>
      </x:c>
      <x:c r="E8" s="14" t="str">
        <x:v>Approximate threshold lookup</x:v>
      </x:c>
      <x:c r="F8" s="14" t="str">
        <x:v>Does not replace any site's original grade</x:v>
      </x:c>
    </x:row>
    <x:row r="9">
      <x:c r="A9" s="14" t="str">
        <x:v>Rank spread</x:v>
      </x:c>
      <x:c r="B9" s="14" t="str">
        <x:v>Worst site rank minus best site rank</x:v>
      </x:c>
      <x:c r="C9" s="14" t="str"/>
      <x:c r="D9" s="14" t="str">
        <x:v>0–11</x:v>
      </x:c>
      <x:c r="E9" s="14" t="str">
        <x:v>MAX(rank)-MIN(rank)</x:v>
      </x:c>
      <x:c r="F9" s="14" t="str">
        <x:v>7+ places is labeled polarizing</x:v>
      </x:c>
    </x:row>
    <x:row r="10">
      <x:c r="A10" s="14" t="str">
        <x:v>Overall summary</x:v>
      </x:c>
      <x:c r="B10" s="14" t="str">
        <x:v>Average of available Snake and Auction average ranks</x:v>
      </x:c>
      <x:c r="C10" s="14" t="str"/>
      <x:c r="D10" s="14" t="str">
        <x:v>Lower is better</x:v>
      </x:c>
      <x:c r="E10" s="14" t="str">
        <x:v>AVERAGE(format averages)</x:v>
      </x:c>
      <x:c r="F10" s="14" t="str">
        <x:v>One-format owners are clearly labeled</x:v>
      </x:c>
    </x:row>
    <x:row r="12">
      <x:c r="A12" s="15" t="str">
        <x:v>Letter grade</x:v>
      </x:c>
      <x:c r="B12" s="15" t="str">
        <x:v>Normalized score</x:v>
      </x:c>
      <x:c r="D12" s="15" t="str">
        <x:v>Minimum score</x:v>
      </x:c>
      <x:c r="E12" s="15" t="str">
        <x:v>Consensus grade</x:v>
      </x:c>
    </x:row>
    <x:row r="13">
      <x:c r="A13" t="str">
        <x:v>A+</x:v>
      </x:c>
      <x:c r="B13" s="16" t="n">
        <x:v>98</x:v>
      </x:c>
      <x:c r="D13" t="n">
        <x:v>0</x:v>
      </x:c>
      <x:c r="E13" t="str">
        <x:v>F</x:v>
      </x:c>
    </x:row>
    <x:row r="14">
      <x:c r="A14" t="str">
        <x:v>A</x:v>
      </x:c>
      <x:c r="B14" s="16" t="n">
        <x:v>95</x:v>
      </x:c>
      <x:c r="D14" t="n">
        <x:v>60</x:v>
      </x:c>
      <x:c r="E14" t="str">
        <x:v>D-</x:v>
      </x:c>
    </x:row>
    <x:row r="15">
      <x:c r="A15" t="str">
        <x:v>A-</x:v>
      </x:c>
      <x:c r="B15" s="16" t="n">
        <x:v>91</x:v>
      </x:c>
      <x:c r="D15" t="n">
        <x:v>63</x:v>
      </x:c>
      <x:c r="E15" t="str">
        <x:v>D</x:v>
      </x:c>
    </x:row>
    <x:row r="16">
      <x:c r="A16" t="str">
        <x:v>B+</x:v>
      </x:c>
      <x:c r="B16" s="16" t="n">
        <x:v>88</x:v>
      </x:c>
      <x:c r="D16" t="n">
        <x:v>67</x:v>
      </x:c>
      <x:c r="E16" t="str">
        <x:v>D+</x:v>
      </x:c>
    </x:row>
    <x:row r="17">
      <x:c r="A17" t="str">
        <x:v>B</x:v>
      </x:c>
      <x:c r="B17" s="16" t="n">
        <x:v>85</x:v>
      </x:c>
      <x:c r="D17" t="n">
        <x:v>70</x:v>
      </x:c>
      <x:c r="E17" t="str">
        <x:v>C-</x:v>
      </x:c>
    </x:row>
    <x:row r="18">
      <x:c r="A18" t="str">
        <x:v>B-</x:v>
      </x:c>
      <x:c r="B18" s="16" t="n">
        <x:v>81</x:v>
      </x:c>
      <x:c r="D18" t="n">
        <x:v>73</x:v>
      </x:c>
      <x:c r="E18" t="str">
        <x:v>C</x:v>
      </x:c>
    </x:row>
    <x:row r="19">
      <x:c r="A19" t="str">
        <x:v>C+</x:v>
      </x:c>
      <x:c r="B19" s="16" t="n">
        <x:v>78</x:v>
      </x:c>
      <x:c r="D19" t="n">
        <x:v>77</x:v>
      </x:c>
      <x:c r="E19" t="str">
        <x:v>C+</x:v>
      </x:c>
    </x:row>
    <x:row r="20">
      <x:c r="A20" t="str">
        <x:v>C</x:v>
      </x:c>
      <x:c r="B20" s="16" t="n">
        <x:v>75</x:v>
      </x:c>
      <x:c r="D20" t="n">
        <x:v>80</x:v>
      </x:c>
      <x:c r="E20" t="str">
        <x:v>B-</x:v>
      </x:c>
    </x:row>
    <x:row r="21">
      <x:c r="A21" t="str">
        <x:v>C-</x:v>
      </x:c>
      <x:c r="B21" s="16" t="n">
        <x:v>71</x:v>
      </x:c>
      <x:c r="D21" t="n">
        <x:v>83</x:v>
      </x:c>
      <x:c r="E21" t="str">
        <x:v>B</x:v>
      </x:c>
    </x:row>
    <x:row r="22">
      <x:c r="A22" t="str">
        <x:v>D+</x:v>
      </x:c>
      <x:c r="B22" s="16" t="n">
        <x:v>68</x:v>
      </x:c>
      <x:c r="D22" t="n">
        <x:v>87</x:v>
      </x:c>
      <x:c r="E22" t="str">
        <x:v>B+</x:v>
      </x:c>
    </x:row>
    <x:row r="23">
      <x:c r="A23" t="str">
        <x:v>D</x:v>
      </x:c>
      <x:c r="B23" s="16" t="n">
        <x:v>65</x:v>
      </x:c>
      <x:c r="D23" t="n">
        <x:v>90</x:v>
      </x:c>
      <x:c r="E23" t="str">
        <x:v>A-</x:v>
      </x:c>
    </x:row>
    <x:row r="24">
      <x:c r="A24" t="str">
        <x:v>D-</x:v>
      </x:c>
      <x:c r="B24" s="16" t="n">
        <x:v>61</x:v>
      </x:c>
      <x:c r="D24" t="n">
        <x:v>93</x:v>
      </x:c>
      <x:c r="E24" t="str">
        <x:v>A</x:v>
      </x:c>
    </x:row>
    <x:row r="25">
      <x:c r="A25" t="str">
        <x:v>F</x:v>
      </x:c>
      <x:c r="B25" s="16" t="n">
        <x:v>55</x:v>
      </x:c>
      <x:c r="D25" t="n">
        <x:v>97</x:v>
      </x:c>
      <x:c r="E25" t="str">
        <x:v>A+</x:v>
      </x:c>
    </x:row>
    <x:row r="28">
      <x:c r="A28" s="19" t="str">
        <x:v>Source: C:/Users/mppac/Downloads/DraftGrades.csv · External rankings and grades are reproduced as provided.</x:v>
      </x:c>
      <x:c r="B28" s="19" t="str">
        <x:v>Source: C:/Users/mppac/Downloads/DraftGrades.csv · External rankings and grades are reproduced as provided.</x:v>
      </x:c>
      <x:c r="C28" s="19" t="str">
        <x:v>Source: C:/Users/mppac/Downloads/DraftGrades.csv · External rankings and grades are reproduced as provided.</x:v>
      </x:c>
      <x:c r="D28" s="19" t="str">
        <x:v>Source: C:/Users/mppac/Downloads/DraftGrades.csv · External rankings and grades are reproduced as provided.</x:v>
      </x:c>
      <x:c r="E28" s="19" t="str">
        <x:v>Source: C:/Users/mppac/Downloads/DraftGrades.csv · External rankings and grades are reproduced as provided.</x:v>
      </x:c>
      <x:c r="F28" s="19" t="str">
        <x:v>Source: C:/Users/mppac/Downloads/DraftGrades.csv · External rankings and grades are reproduced as provided.</x:v>
      </x:c>
    </x:row>
  </x:sheetData>
  <x:mergeCells>
    <x:mergeCell ref="A1:F1"/>
    <x:mergeCell ref="A2:F2"/>
    <x:mergeCell ref="A28:F28"/>
  </x:mergeCells>
  <x:pageMargins left="0.7" right="0.7" top="0.75" bottom="0.75" header="0.3" footer="0.3"/>
</x:worksheet>
</file>